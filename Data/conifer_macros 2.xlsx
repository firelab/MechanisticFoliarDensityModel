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aKeefer\Desktop\LFMC Project\"/>
    </mc:Choice>
  </mc:AlternateContent>
  <xr:revisionPtr revIDLastSave="0" documentId="13_ncr:1_{3DBA1565-07F9-4C12-ADD7-27C049B06699}" xr6:coauthVersionLast="47" xr6:coauthVersionMax="47" xr10:uidLastSave="{00000000-0000-0000-0000-000000000000}"/>
  <bookViews>
    <workbookView xWindow="-110" yWindow="-110" windowWidth="19420" windowHeight="10300" xr2:uid="{7DCBB41F-9897-4D04-95D3-41195303D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2" i="1"/>
</calcChain>
</file>

<file path=xl/sharedStrings.xml><?xml version="1.0" encoding="utf-8"?>
<sst xmlns="http://schemas.openxmlformats.org/spreadsheetml/2006/main" count="292" uniqueCount="33">
  <si>
    <t>Species</t>
  </si>
  <si>
    <t>Site</t>
  </si>
  <si>
    <t>SampleDate</t>
  </si>
  <si>
    <t>Foliage</t>
  </si>
  <si>
    <t>sucrose</t>
  </si>
  <si>
    <t>starch</t>
  </si>
  <si>
    <t>glucose</t>
  </si>
  <si>
    <t>fructose</t>
  </si>
  <si>
    <t>CF%</t>
  </si>
  <si>
    <t>NDF%</t>
  </si>
  <si>
    <t>ADF%</t>
  </si>
  <si>
    <t>Notes</t>
  </si>
  <si>
    <t>ABIGRA</t>
  </si>
  <si>
    <t>Jerry Johnson</t>
  </si>
  <si>
    <t>New</t>
  </si>
  <si>
    <t>Old</t>
  </si>
  <si>
    <t>ABILAS</t>
  </si>
  <si>
    <t>TV1</t>
  </si>
  <si>
    <t>LAROCC</t>
  </si>
  <si>
    <t>PINALB</t>
  </si>
  <si>
    <t>St Mary's Peak</t>
  </si>
  <si>
    <t>PINCON</t>
  </si>
  <si>
    <t>Spring Gulch</t>
  </si>
  <si>
    <t>PICENG</t>
  </si>
  <si>
    <t>PINMON</t>
  </si>
  <si>
    <t>White Pine Creek</t>
  </si>
  <si>
    <t>PINPON</t>
  </si>
  <si>
    <t>Blue Mountain</t>
  </si>
  <si>
    <t>THUPLI</t>
  </si>
  <si>
    <t>TSUHET</t>
  </si>
  <si>
    <t>PSEMEN</t>
  </si>
  <si>
    <t>totalsugar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</si>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</sst>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indexed="8"/>
      <name val="Arial"/>
    </font>
    <font>
      <sz val="11"/>
      <color indexed="8"/>
      <name val="Calibri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1" applyFont="1" applyAlignment="1">
      <alignment horizontal="right"/>
    </xf>
    <xf numFmtId="0" fontId="3" fillId="0" borderId="0" xfId="1" applyFont="1" applyAlignment="1">
      <alignment horizontal="right" wrapText="1"/>
    </xf>
    <xf numFmtId="0" fontId="3" fillId="0" borderId="0" xfId="1" applyFont="1" applyAlignment="1">
      <alignment horizontal="center"/>
    </xf>
    <xf numFmtId="0" fontId="5" fillId="0" borderId="0" xfId="2" applyFont="1" applyAlignment="1">
      <alignment horizontal="right" wrapText="1"/>
    </xf>
    <xf numFmtId="0" fontId="5" fillId="0" borderId="0" xfId="2" applyFont="1" applyAlignment="1">
      <alignment horizontal="center"/>
    </xf>
    <xf numFmtId="164" fontId="3" fillId="0" borderId="0" xfId="1" applyNumberFormat="1" applyFont="1" applyAlignment="1">
      <alignment horizontal="right" wrapText="1"/>
    </xf>
    <xf numFmtId="0" fontId="3" fillId="0" borderId="0" xfId="1" applyFont="1" applyAlignment="1">
      <alignment wrapText="1"/>
    </xf>
    <xf numFmtId="14" fontId="0" fillId="0" borderId="0" xfId="0" applyNumberFormat="1"/>
  </cellXfs>
  <cellStyles count="3">
    <cellStyle name="Normal" xfId="0" builtinId="0"/>
    <cellStyle name="Normal_Sheet1" xfId="1" xr:uid="{50FDF7AF-A9BD-469F-8C28-FCC1D7F08506}"/>
    <cellStyle name="Normal_Sheet1_1" xfId="2" xr:uid="{BB9532FB-B127-4F78-985A-8C286B6D2C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678C-F50B-408B-BF18-A5C3B54D4D18}">
  <dimension ref="A1:P94"/>
  <sheetViews>
    <sheetView tabSelected="1" zoomScale="85" workbookViewId="0">
      <pane ySplit="1" topLeftCell="A2" activePane="bottomLeft" state="frozen"/>
      <selection pane="bottomLeft" activeCell="M18" sqref="M18"/>
    </sheetView>
  </sheetViews>
  <sheetFormatPr defaultRowHeight="14.5" x14ac:dyDescent="0.35"/>
  <cols>
    <col min="1" max="1" width="8.7265625" style="1"/>
    <col min="2" max="2" width="13.08984375" style="1" customWidth="1"/>
    <col min="3" max="3" width="13.6328125" style="1" customWidth="1"/>
    <col min="4" max="12" width="8.7265625" style="1"/>
    <col min="13" max="13" width="12.7265625" style="1" customWidth="1"/>
    <col min="14" max="15" width="8.7265625" style="1"/>
    <col min="16" max="16" width="14" style="1" customWidth="1"/>
    <col min="17" max="16384" width="8.7265625" style="1"/>
  </cols>
  <sheetData>
    <row r="1" spans="1:13" customForma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s="1" t="s">
        <v>12</v>
      </c>
      <c r="B2" s="1" t="s">
        <v>13</v>
      </c>
      <c r="C2" s="2">
        <v>44727</v>
      </c>
      <c r="D2" s="1" t="s">
        <v>14</v>
      </c>
      <c r="E2" s="1">
        <v>0.72083873499999995</v>
      </c>
      <c r="F2" s="1">
        <f t="shared" ref="F2:F33" si="0">H2+I2+E2</f>
        <v>3.2674832359999999</v>
      </c>
      <c r="G2" s="1">
        <v>1.646974071</v>
      </c>
      <c r="H2" s="1">
        <v>0.723201074</v>
      </c>
      <c r="I2" s="1">
        <v>1.823443427</v>
      </c>
      <c r="J2" s="1">
        <v>2.57</v>
      </c>
      <c r="K2" s="1">
        <v>28.4</v>
      </c>
      <c r="L2" s="1">
        <v>21.3</v>
      </c>
    </row>
    <row r="3" spans="1:13" x14ac:dyDescent="0.35">
      <c r="A3" s="1" t="s">
        <v>12</v>
      </c>
      <c r="B3" s="1" t="s">
        <v>13</v>
      </c>
      <c r="C3" s="2">
        <v>44755</v>
      </c>
      <c r="D3" s="1" t="s">
        <v>14</v>
      </c>
      <c r="E3" s="1">
        <v>1.02478081</v>
      </c>
      <c r="F3" s="1">
        <f t="shared" si="0"/>
        <v>2.4608410200000002</v>
      </c>
      <c r="G3" s="1">
        <v>0.93051375999999997</v>
      </c>
      <c r="H3" s="1">
        <v>6.7444775999999998E-2</v>
      </c>
      <c r="I3" s="1">
        <v>1.3686154340000001</v>
      </c>
      <c r="J3" s="1">
        <v>4.6900000000000004</v>
      </c>
      <c r="K3" s="1">
        <v>34</v>
      </c>
      <c r="L3" s="1">
        <v>28.7</v>
      </c>
    </row>
    <row r="4" spans="1:13" x14ac:dyDescent="0.35">
      <c r="A4" s="1" t="s">
        <v>12</v>
      </c>
      <c r="B4" s="1" t="s">
        <v>13</v>
      </c>
      <c r="C4" s="2">
        <v>44797</v>
      </c>
      <c r="D4" s="1" t="s">
        <v>14</v>
      </c>
      <c r="E4" s="1">
        <v>1.68924472</v>
      </c>
      <c r="F4" s="1">
        <f t="shared" si="0"/>
        <v>4.6467019989999994</v>
      </c>
      <c r="G4" s="1">
        <v>0.23908059300000001</v>
      </c>
      <c r="H4" s="1">
        <v>1.7927481199999999</v>
      </c>
      <c r="I4" s="1">
        <v>1.164709159</v>
      </c>
      <c r="J4" s="1">
        <v>5.47</v>
      </c>
      <c r="K4" s="1">
        <v>34.200000000000003</v>
      </c>
      <c r="L4" s="1">
        <v>30.5</v>
      </c>
    </row>
    <row r="5" spans="1:13" x14ac:dyDescent="0.35">
      <c r="A5" s="1" t="s">
        <v>12</v>
      </c>
      <c r="B5" s="1" t="s">
        <v>13</v>
      </c>
      <c r="C5" s="2">
        <v>44816</v>
      </c>
      <c r="D5" s="1" t="s">
        <v>14</v>
      </c>
      <c r="E5" s="1">
        <v>1.796385143</v>
      </c>
      <c r="F5" s="1">
        <f t="shared" si="0"/>
        <v>4.7951932629999998</v>
      </c>
      <c r="G5" s="1">
        <v>0.26408769199999999</v>
      </c>
      <c r="H5" s="1">
        <v>1.895856513</v>
      </c>
      <c r="I5" s="1">
        <v>1.1029516070000001</v>
      </c>
      <c r="J5" s="3">
        <v>5.24</v>
      </c>
      <c r="K5" s="1">
        <v>35.700000000000003</v>
      </c>
      <c r="L5" s="1">
        <v>35.799999999999997</v>
      </c>
    </row>
    <row r="6" spans="1:13" x14ac:dyDescent="0.35">
      <c r="A6" s="1" t="s">
        <v>12</v>
      </c>
      <c r="B6" s="1" t="s">
        <v>13</v>
      </c>
      <c r="C6" s="2">
        <v>44727</v>
      </c>
      <c r="D6" s="1" t="s">
        <v>15</v>
      </c>
      <c r="E6" s="1">
        <v>1.2046239599999999</v>
      </c>
      <c r="F6" s="1">
        <f t="shared" si="0"/>
        <v>4.2452563460000006</v>
      </c>
      <c r="G6" s="1">
        <v>5.8157703009999997</v>
      </c>
      <c r="H6" s="1">
        <v>1.3435467510000001</v>
      </c>
      <c r="I6" s="1">
        <v>1.6970856350000001</v>
      </c>
      <c r="J6" s="4">
        <v>4.99</v>
      </c>
      <c r="K6" s="1">
        <v>43.4</v>
      </c>
      <c r="L6" s="1">
        <v>24.8</v>
      </c>
    </row>
    <row r="7" spans="1:13" x14ac:dyDescent="0.35">
      <c r="A7" s="1" t="s">
        <v>12</v>
      </c>
      <c r="B7" s="1" t="s">
        <v>13</v>
      </c>
      <c r="C7" s="2">
        <v>44755</v>
      </c>
      <c r="D7" s="1" t="s">
        <v>15</v>
      </c>
      <c r="E7" s="1">
        <v>2.2259269659999998</v>
      </c>
      <c r="F7" s="1">
        <f t="shared" si="0"/>
        <v>4.2849327420000005</v>
      </c>
      <c r="G7" s="1">
        <v>1.5840994799999999</v>
      </c>
      <c r="H7" s="1">
        <v>1.8313643100000001</v>
      </c>
      <c r="I7" s="1">
        <v>0.22764146599999999</v>
      </c>
      <c r="J7" s="1">
        <v>5.4</v>
      </c>
      <c r="K7" s="1">
        <v>40.700000000000003</v>
      </c>
      <c r="L7" s="1">
        <v>32.9</v>
      </c>
    </row>
    <row r="8" spans="1:13" x14ac:dyDescent="0.35">
      <c r="A8" s="1" t="s">
        <v>12</v>
      </c>
      <c r="B8" s="1" t="s">
        <v>13</v>
      </c>
      <c r="C8" s="2">
        <v>44797</v>
      </c>
      <c r="D8" s="1" t="s">
        <v>15</v>
      </c>
      <c r="E8" s="1">
        <v>1.3497887099999999</v>
      </c>
      <c r="F8" s="1">
        <f t="shared" si="0"/>
        <v>2.2969673500000001</v>
      </c>
      <c r="G8" s="1">
        <v>0.24163694299999999</v>
      </c>
      <c r="H8" s="1">
        <v>0.55959782400000002</v>
      </c>
      <c r="I8" s="1">
        <v>0.38758081599999999</v>
      </c>
      <c r="J8" s="1">
        <v>5.01</v>
      </c>
      <c r="K8" s="1">
        <v>32</v>
      </c>
      <c r="L8" s="1">
        <v>31.1</v>
      </c>
    </row>
    <row r="9" spans="1:13" x14ac:dyDescent="0.35">
      <c r="A9" s="1" t="s">
        <v>12</v>
      </c>
      <c r="B9" s="1" t="s">
        <v>13</v>
      </c>
      <c r="C9" s="2">
        <v>44816</v>
      </c>
      <c r="D9" s="1" t="s">
        <v>15</v>
      </c>
      <c r="E9" s="1">
        <v>1.871082004</v>
      </c>
      <c r="F9" s="1">
        <f t="shared" si="0"/>
        <v>3.7351222360000005</v>
      </c>
      <c r="G9" s="1">
        <v>0.26498138900000001</v>
      </c>
      <c r="H9" s="1">
        <v>1.1701742420000001</v>
      </c>
      <c r="I9" s="1">
        <v>0.69386599000000004</v>
      </c>
      <c r="J9" s="1">
        <v>6.28</v>
      </c>
      <c r="K9" s="1">
        <v>34.299999999999997</v>
      </c>
      <c r="L9" s="1">
        <v>35.799999999999997</v>
      </c>
      <c r="M9" s="5"/>
    </row>
    <row r="10" spans="1:13" x14ac:dyDescent="0.35">
      <c r="A10" s="1" t="s">
        <v>16</v>
      </c>
      <c r="B10" s="1" t="s">
        <v>17</v>
      </c>
      <c r="C10" s="2">
        <v>44760</v>
      </c>
      <c r="D10" s="1" t="s">
        <v>14</v>
      </c>
      <c r="E10" s="1">
        <v>2.1603829160000001</v>
      </c>
      <c r="F10" s="1">
        <f t="shared" si="0"/>
        <v>5.9913517709999997</v>
      </c>
      <c r="G10" s="1">
        <v>0.36747342500000002</v>
      </c>
      <c r="H10" s="1">
        <v>2.5795006460000001</v>
      </c>
      <c r="I10" s="1">
        <v>1.251468209</v>
      </c>
      <c r="J10" s="4">
        <v>6.13</v>
      </c>
      <c r="K10" s="4">
        <v>36.700000000000003</v>
      </c>
      <c r="L10" s="4">
        <v>34.799999999999997</v>
      </c>
      <c r="M10" s="4"/>
    </row>
    <row r="11" spans="1:13" x14ac:dyDescent="0.35">
      <c r="A11" s="1" t="s">
        <v>16</v>
      </c>
      <c r="B11" s="1" t="s">
        <v>17</v>
      </c>
      <c r="C11" s="2">
        <v>44774</v>
      </c>
      <c r="D11" s="1" t="s">
        <v>14</v>
      </c>
      <c r="E11" s="1">
        <v>1.3698478970000001</v>
      </c>
      <c r="F11" s="1">
        <f t="shared" si="0"/>
        <v>3.6185868120000002</v>
      </c>
      <c r="G11" s="1">
        <v>0.29202330799999998</v>
      </c>
      <c r="H11" s="1">
        <v>1.439774262</v>
      </c>
      <c r="I11" s="1">
        <v>0.80896465299999998</v>
      </c>
      <c r="J11" s="4">
        <v>5.38</v>
      </c>
      <c r="K11" s="4">
        <v>37.799999999999997</v>
      </c>
      <c r="L11" s="4">
        <v>32.6</v>
      </c>
      <c r="M11" s="4"/>
    </row>
    <row r="12" spans="1:13" x14ac:dyDescent="0.35">
      <c r="A12" s="1" t="s">
        <v>16</v>
      </c>
      <c r="B12" s="1" t="s">
        <v>17</v>
      </c>
      <c r="C12" s="2">
        <v>44789</v>
      </c>
      <c r="D12" s="1" t="s">
        <v>14</v>
      </c>
      <c r="E12" s="1">
        <v>1.6875878040000001</v>
      </c>
      <c r="F12" s="1">
        <f t="shared" si="0"/>
        <v>4.282996174</v>
      </c>
      <c r="G12" s="1">
        <v>0.224088708</v>
      </c>
      <c r="H12" s="1">
        <v>1.7796645760000001</v>
      </c>
      <c r="I12" s="1">
        <v>0.81574379399999997</v>
      </c>
      <c r="J12" s="4">
        <v>7.29</v>
      </c>
      <c r="K12" s="4">
        <v>38.1</v>
      </c>
      <c r="L12" s="4">
        <v>32.700000000000003</v>
      </c>
      <c r="M12" s="4"/>
    </row>
    <row r="13" spans="1:13" x14ac:dyDescent="0.35">
      <c r="A13" s="1" t="s">
        <v>16</v>
      </c>
      <c r="B13" s="1" t="s">
        <v>17</v>
      </c>
      <c r="C13" s="2">
        <v>44810</v>
      </c>
      <c r="D13" s="1" t="s">
        <v>14</v>
      </c>
      <c r="E13" s="1">
        <v>2.038198452</v>
      </c>
      <c r="F13" s="1">
        <f t="shared" si="0"/>
        <v>5.0610770229999993</v>
      </c>
      <c r="G13" s="1">
        <v>0.31465749999999998</v>
      </c>
      <c r="H13" s="1">
        <v>2.3026911939999999</v>
      </c>
      <c r="I13" s="1">
        <v>0.72018737700000002</v>
      </c>
      <c r="J13" s="4">
        <v>8.85</v>
      </c>
      <c r="K13" s="4">
        <v>35.6</v>
      </c>
      <c r="L13" s="4">
        <v>34.700000000000003</v>
      </c>
      <c r="M13" s="4"/>
    </row>
    <row r="14" spans="1:13" x14ac:dyDescent="0.35">
      <c r="A14" s="1" t="s">
        <v>16</v>
      </c>
      <c r="B14" s="1" t="s">
        <v>17</v>
      </c>
      <c r="C14" s="2">
        <v>44760</v>
      </c>
      <c r="D14" s="1" t="s">
        <v>15</v>
      </c>
      <c r="E14" s="1">
        <v>3.2768453480000002</v>
      </c>
      <c r="F14" s="1">
        <f t="shared" si="0"/>
        <v>8.3414805600000008</v>
      </c>
      <c r="G14" s="1">
        <v>2.8970332550000002</v>
      </c>
      <c r="H14" s="1">
        <v>3.425578953</v>
      </c>
      <c r="I14" s="1">
        <v>1.639056259</v>
      </c>
      <c r="J14" s="4">
        <v>7.4</v>
      </c>
      <c r="K14" s="4">
        <v>36.1</v>
      </c>
      <c r="L14" s="4">
        <v>33.5</v>
      </c>
      <c r="M14" s="4"/>
    </row>
    <row r="15" spans="1:13" x14ac:dyDescent="0.35">
      <c r="A15" s="1" t="s">
        <v>16</v>
      </c>
      <c r="B15" s="1" t="s">
        <v>17</v>
      </c>
      <c r="C15" s="2">
        <v>44774</v>
      </c>
      <c r="D15" s="1" t="s">
        <v>15</v>
      </c>
      <c r="E15" s="1">
        <v>2.5393230820000001</v>
      </c>
      <c r="F15" s="1">
        <f t="shared" si="0"/>
        <v>6.4845715620000002</v>
      </c>
      <c r="G15" s="1">
        <v>0.62731048700000003</v>
      </c>
      <c r="H15" s="1">
        <v>2.8933125149999999</v>
      </c>
      <c r="I15" s="1">
        <v>1.051935965</v>
      </c>
      <c r="J15" s="4">
        <v>7.63</v>
      </c>
      <c r="K15" s="4">
        <v>33.299999999999997</v>
      </c>
      <c r="L15" s="4">
        <v>27</v>
      </c>
      <c r="M15" s="4"/>
    </row>
    <row r="16" spans="1:13" x14ac:dyDescent="0.35">
      <c r="A16" s="1" t="s">
        <v>16</v>
      </c>
      <c r="B16" s="1" t="s">
        <v>17</v>
      </c>
      <c r="C16" s="2">
        <v>44789</v>
      </c>
      <c r="D16" s="1" t="s">
        <v>15</v>
      </c>
      <c r="E16" s="1">
        <v>2.185999555</v>
      </c>
      <c r="F16" s="1">
        <f t="shared" si="0"/>
        <v>5.1994911869999996</v>
      </c>
      <c r="G16" s="1">
        <v>0.42872137500000002</v>
      </c>
      <c r="H16" s="1">
        <v>1.924996052</v>
      </c>
      <c r="I16" s="1">
        <v>1.08849558</v>
      </c>
      <c r="J16" s="4">
        <v>7.68</v>
      </c>
      <c r="K16" s="4">
        <v>37</v>
      </c>
      <c r="L16" s="4">
        <v>28</v>
      </c>
      <c r="M16" s="4"/>
    </row>
    <row r="17" spans="1:15" x14ac:dyDescent="0.35">
      <c r="A17" s="1" t="s">
        <v>16</v>
      </c>
      <c r="B17" s="1" t="s">
        <v>17</v>
      </c>
      <c r="C17" s="2">
        <v>44810</v>
      </c>
      <c r="D17" s="1" t="s">
        <v>15</v>
      </c>
      <c r="E17" s="1">
        <v>2.2727229879999999</v>
      </c>
      <c r="F17" s="1">
        <f t="shared" si="0"/>
        <v>5.4442467030000001</v>
      </c>
      <c r="G17" s="1">
        <v>0.36638014299999999</v>
      </c>
      <c r="H17" s="1">
        <v>1.9547307119999999</v>
      </c>
      <c r="I17" s="1">
        <v>1.216793003</v>
      </c>
      <c r="J17" s="4">
        <v>8.85</v>
      </c>
      <c r="K17" s="4">
        <v>34.1</v>
      </c>
      <c r="L17" s="4">
        <v>30.3</v>
      </c>
      <c r="M17" s="4"/>
    </row>
    <row r="18" spans="1:15" x14ac:dyDescent="0.35">
      <c r="A18" s="1" t="s">
        <v>18</v>
      </c>
      <c r="B18" s="1" t="s">
        <v>17</v>
      </c>
      <c r="C18" s="2">
        <v>44739</v>
      </c>
      <c r="D18" s="1" t="s">
        <v>14</v>
      </c>
      <c r="E18" s="1">
        <v>2.7131712380000002</v>
      </c>
      <c r="F18" s="1">
        <f t="shared" si="0"/>
        <v>8.0495936139999991</v>
      </c>
      <c r="G18" s="1">
        <v>1.6585742999999999</v>
      </c>
      <c r="H18" s="1">
        <v>2.9750775410000001</v>
      </c>
      <c r="I18" s="1">
        <v>2.3613448350000001</v>
      </c>
      <c r="J18" s="6">
        <v>2.4500000000000002</v>
      </c>
      <c r="K18" s="6">
        <v>39.6</v>
      </c>
      <c r="L18" s="6">
        <v>30.7</v>
      </c>
    </row>
    <row r="19" spans="1:15" x14ac:dyDescent="0.35">
      <c r="A19" s="1" t="s">
        <v>18</v>
      </c>
      <c r="B19" s="1" t="s">
        <v>17</v>
      </c>
      <c r="C19" s="2">
        <v>44774</v>
      </c>
      <c r="D19" s="1" t="s">
        <v>14</v>
      </c>
      <c r="E19" s="1">
        <v>3.2004558200000002</v>
      </c>
      <c r="F19" s="1">
        <f t="shared" si="0"/>
        <v>5.9851917270000001</v>
      </c>
      <c r="G19" s="1">
        <v>1.1737896489999999</v>
      </c>
      <c r="H19" s="1">
        <v>2.1165084809999999</v>
      </c>
      <c r="I19" s="1">
        <v>0.66822742599999996</v>
      </c>
      <c r="J19" s="6">
        <v>6.55</v>
      </c>
      <c r="K19" s="6">
        <v>36.299999999999997</v>
      </c>
      <c r="L19" s="6">
        <v>31.1</v>
      </c>
      <c r="M19" s="7"/>
    </row>
    <row r="20" spans="1:15" x14ac:dyDescent="0.35">
      <c r="A20" s="1" t="s">
        <v>18</v>
      </c>
      <c r="B20" s="1" t="s">
        <v>17</v>
      </c>
      <c r="C20" s="2">
        <v>44789</v>
      </c>
      <c r="D20" s="1" t="s">
        <v>14</v>
      </c>
      <c r="E20" s="1">
        <v>1.567306613</v>
      </c>
      <c r="F20" s="1">
        <f t="shared" si="0"/>
        <v>3.3225993680000001</v>
      </c>
      <c r="G20" s="1">
        <v>0.27455194100000002</v>
      </c>
      <c r="H20" s="1">
        <v>0.59346451600000005</v>
      </c>
      <c r="I20" s="1">
        <v>1.1618282390000001</v>
      </c>
      <c r="J20" s="6">
        <v>12.5</v>
      </c>
      <c r="K20" s="6">
        <v>30.2</v>
      </c>
      <c r="L20" s="6">
        <v>28.5</v>
      </c>
      <c r="M20" s="6"/>
    </row>
    <row r="21" spans="1:15" x14ac:dyDescent="0.35">
      <c r="A21" s="1" t="s">
        <v>18</v>
      </c>
      <c r="B21" s="1" t="s">
        <v>17</v>
      </c>
      <c r="C21" s="2">
        <v>44810</v>
      </c>
      <c r="D21" s="1" t="s">
        <v>14</v>
      </c>
      <c r="E21" s="1">
        <v>3.9678263340000002</v>
      </c>
      <c r="F21" s="1">
        <f t="shared" si="0"/>
        <v>8.0374238430000009</v>
      </c>
      <c r="G21" s="1">
        <v>0.94047576700000002</v>
      </c>
      <c r="H21" s="1">
        <v>3.1153009680000001</v>
      </c>
      <c r="I21" s="1">
        <v>0.95429654100000005</v>
      </c>
      <c r="J21" s="6">
        <v>5.32</v>
      </c>
      <c r="K21" s="6">
        <v>33.700000000000003</v>
      </c>
      <c r="L21" s="6">
        <v>34.5</v>
      </c>
      <c r="M21" s="5"/>
      <c r="N21" s="5"/>
    </row>
    <row r="22" spans="1:15" x14ac:dyDescent="0.35">
      <c r="A22" s="1" t="s">
        <v>19</v>
      </c>
      <c r="B22" s="1" t="s">
        <v>20</v>
      </c>
      <c r="C22" s="2">
        <v>44763</v>
      </c>
      <c r="D22" s="1" t="s">
        <v>14</v>
      </c>
      <c r="E22" s="1">
        <v>1.04259188</v>
      </c>
      <c r="F22" s="1">
        <f t="shared" si="0"/>
        <v>2.5564840799999997</v>
      </c>
      <c r="G22" s="1">
        <v>0.50211528299999997</v>
      </c>
      <c r="H22" s="1">
        <v>0.52397403799999998</v>
      </c>
      <c r="I22" s="1">
        <v>0.98991816200000005</v>
      </c>
      <c r="J22" s="4">
        <v>5.45</v>
      </c>
      <c r="K22" s="4">
        <v>35.6</v>
      </c>
      <c r="L22" s="4">
        <v>30.9</v>
      </c>
      <c r="M22" s="8"/>
      <c r="N22" s="4"/>
    </row>
    <row r="23" spans="1:15" x14ac:dyDescent="0.35">
      <c r="A23" s="1" t="s">
        <v>19</v>
      </c>
      <c r="B23" s="1" t="s">
        <v>20</v>
      </c>
      <c r="C23" s="2">
        <v>44777</v>
      </c>
      <c r="D23" s="1" t="s">
        <v>14</v>
      </c>
      <c r="E23" s="1">
        <v>1.295058804</v>
      </c>
      <c r="F23" s="1">
        <f t="shared" si="0"/>
        <v>3.6405750120000002</v>
      </c>
      <c r="G23" s="1">
        <v>0.41754195</v>
      </c>
      <c r="H23" s="1">
        <v>1.3668560670000001</v>
      </c>
      <c r="I23" s="1">
        <v>0.97866014099999998</v>
      </c>
      <c r="J23" s="4">
        <v>5.95</v>
      </c>
      <c r="K23" s="4">
        <v>43</v>
      </c>
      <c r="L23" s="4">
        <v>40.799999999999997</v>
      </c>
      <c r="M23" s="8"/>
      <c r="N23" s="4"/>
    </row>
    <row r="24" spans="1:15" x14ac:dyDescent="0.35">
      <c r="A24" s="1" t="s">
        <v>19</v>
      </c>
      <c r="B24" s="1" t="s">
        <v>20</v>
      </c>
      <c r="C24" s="2">
        <v>44806</v>
      </c>
      <c r="D24" s="1" t="s">
        <v>14</v>
      </c>
      <c r="E24" s="1">
        <v>1.6425221130000001</v>
      </c>
      <c r="F24" s="1">
        <f t="shared" si="0"/>
        <v>4.4557119949999997</v>
      </c>
      <c r="G24" s="1">
        <v>0.52832186299999995</v>
      </c>
      <c r="H24" s="1">
        <v>1.5396395430000001</v>
      </c>
      <c r="I24" s="1">
        <v>1.273550339</v>
      </c>
      <c r="J24" s="4">
        <v>7.07</v>
      </c>
      <c r="K24" s="4">
        <v>40.200000000000003</v>
      </c>
      <c r="L24" s="4">
        <v>37.5</v>
      </c>
      <c r="M24" s="8"/>
      <c r="N24" s="4"/>
    </row>
    <row r="25" spans="1:15" x14ac:dyDescent="0.35">
      <c r="A25" s="1" t="s">
        <v>19</v>
      </c>
      <c r="B25" s="1" t="s">
        <v>20</v>
      </c>
      <c r="C25" s="2">
        <v>44832</v>
      </c>
      <c r="D25" s="1" t="s">
        <v>14</v>
      </c>
      <c r="E25" s="1">
        <v>1.525568877</v>
      </c>
      <c r="F25" s="1">
        <f t="shared" si="0"/>
        <v>4.3749254499999992</v>
      </c>
      <c r="G25" s="1">
        <v>0.68795059599999997</v>
      </c>
      <c r="H25" s="1">
        <v>1.7017946429999999</v>
      </c>
      <c r="I25" s="1">
        <v>1.14756193</v>
      </c>
      <c r="J25" s="4">
        <v>7.91</v>
      </c>
      <c r="K25" s="4">
        <v>39.700000000000003</v>
      </c>
      <c r="L25" s="4">
        <v>38.1</v>
      </c>
      <c r="M25" s="8"/>
      <c r="N25" s="4"/>
    </row>
    <row r="26" spans="1:15" x14ac:dyDescent="0.35">
      <c r="A26" s="1" t="s">
        <v>19</v>
      </c>
      <c r="B26" s="1" t="s">
        <v>20</v>
      </c>
      <c r="C26" s="2">
        <v>44763</v>
      </c>
      <c r="D26" s="1" t="s">
        <v>15</v>
      </c>
      <c r="E26" s="1">
        <v>1.540495277</v>
      </c>
      <c r="F26" s="1">
        <f t="shared" si="0"/>
        <v>5.1714075849999999</v>
      </c>
      <c r="G26" s="1">
        <v>2.777742216</v>
      </c>
      <c r="H26" s="1">
        <v>1.550702142</v>
      </c>
      <c r="I26" s="1">
        <v>2.0802101660000001</v>
      </c>
      <c r="J26" s="4">
        <v>7.76</v>
      </c>
      <c r="K26" s="4">
        <v>36.700000000000003</v>
      </c>
      <c r="L26" s="4">
        <v>36.5</v>
      </c>
      <c r="M26" s="8"/>
      <c r="N26" s="4"/>
    </row>
    <row r="27" spans="1:15" x14ac:dyDescent="0.35">
      <c r="A27" s="1" t="s">
        <v>19</v>
      </c>
      <c r="B27" s="1" t="s">
        <v>20</v>
      </c>
      <c r="C27" s="2">
        <v>44777</v>
      </c>
      <c r="D27" s="1" t="s">
        <v>15</v>
      </c>
      <c r="E27" s="1">
        <v>1.628578101</v>
      </c>
      <c r="F27" s="1">
        <f t="shared" si="0"/>
        <v>4.3735578979999996</v>
      </c>
      <c r="G27" s="1">
        <v>1.0725359539999999</v>
      </c>
      <c r="H27" s="1">
        <v>1.3067686919999999</v>
      </c>
      <c r="I27" s="1">
        <v>1.4382111049999999</v>
      </c>
      <c r="J27" s="4">
        <v>7.25</v>
      </c>
      <c r="K27" s="4">
        <v>37.299999999999997</v>
      </c>
      <c r="L27" s="4">
        <v>30.8</v>
      </c>
      <c r="M27" s="8"/>
      <c r="N27" s="4"/>
    </row>
    <row r="28" spans="1:15" x14ac:dyDescent="0.35">
      <c r="A28" s="1" t="s">
        <v>19</v>
      </c>
      <c r="B28" s="1" t="s">
        <v>20</v>
      </c>
      <c r="C28" s="2">
        <v>44806</v>
      </c>
      <c r="D28" s="1" t="s">
        <v>15</v>
      </c>
      <c r="E28" s="1">
        <v>1.709649854</v>
      </c>
      <c r="F28" s="1">
        <f t="shared" si="0"/>
        <v>4.8842225890000002</v>
      </c>
      <c r="G28" s="1">
        <v>1.027731049</v>
      </c>
      <c r="H28" s="1">
        <v>1.8131561060000001</v>
      </c>
      <c r="I28" s="1">
        <v>1.361416629</v>
      </c>
      <c r="J28" s="4">
        <v>9.44</v>
      </c>
      <c r="K28" s="4">
        <v>36.9</v>
      </c>
      <c r="L28" s="4">
        <v>35.700000000000003</v>
      </c>
      <c r="M28" s="8"/>
      <c r="N28" s="4"/>
    </row>
    <row r="29" spans="1:15" x14ac:dyDescent="0.35">
      <c r="A29" s="1" t="s">
        <v>19</v>
      </c>
      <c r="B29" s="1" t="s">
        <v>20</v>
      </c>
      <c r="C29" s="2">
        <v>44832</v>
      </c>
      <c r="D29" s="1" t="s">
        <v>15</v>
      </c>
      <c r="E29" s="1">
        <v>1.612405144</v>
      </c>
      <c r="F29" s="1">
        <f t="shared" si="0"/>
        <v>4.2798593800000004</v>
      </c>
      <c r="G29" s="1">
        <v>0.69090450800000003</v>
      </c>
      <c r="H29" s="1">
        <v>1.2628828780000001</v>
      </c>
      <c r="I29" s="1">
        <v>1.4045713580000001</v>
      </c>
      <c r="J29" s="4">
        <v>9.19</v>
      </c>
      <c r="K29" s="4">
        <v>37.4</v>
      </c>
      <c r="L29" s="4">
        <v>29.9</v>
      </c>
      <c r="M29" s="5"/>
      <c r="N29" s="5"/>
      <c r="O29" s="5"/>
    </row>
    <row r="30" spans="1:15" x14ac:dyDescent="0.35">
      <c r="A30" s="1" t="s">
        <v>21</v>
      </c>
      <c r="B30" s="1" t="s">
        <v>22</v>
      </c>
      <c r="C30" s="2">
        <v>44740</v>
      </c>
      <c r="D30" s="1" t="s">
        <v>14</v>
      </c>
      <c r="E30" s="1">
        <v>0.82710687699999996</v>
      </c>
      <c r="F30" s="1">
        <f t="shared" si="0"/>
        <v>2.651859564</v>
      </c>
      <c r="G30" s="1">
        <v>0.22085616599999999</v>
      </c>
      <c r="H30" s="1">
        <v>0.75211795800000003</v>
      </c>
      <c r="I30" s="1">
        <v>1.072634729</v>
      </c>
      <c r="J30" s="4">
        <v>4.67</v>
      </c>
      <c r="K30" s="4">
        <v>39.799999999999997</v>
      </c>
      <c r="L30" s="4">
        <v>37.9</v>
      </c>
      <c r="M30" s="8"/>
      <c r="N30" s="4"/>
      <c r="O30" s="4"/>
    </row>
    <row r="31" spans="1:15" x14ac:dyDescent="0.35">
      <c r="A31" s="1" t="s">
        <v>21</v>
      </c>
      <c r="B31" s="1" t="s">
        <v>22</v>
      </c>
      <c r="C31" s="2">
        <v>44755</v>
      </c>
      <c r="D31" s="1" t="s">
        <v>14</v>
      </c>
      <c r="E31" s="1">
        <v>0.87152988799999997</v>
      </c>
      <c r="F31" s="1">
        <f t="shared" si="0"/>
        <v>3.1093667759999999</v>
      </c>
      <c r="G31" s="1">
        <v>0.26213187799999998</v>
      </c>
      <c r="H31" s="1">
        <v>0.99676599799999999</v>
      </c>
      <c r="I31" s="1">
        <v>1.24107089</v>
      </c>
      <c r="M31" s="8"/>
      <c r="N31" s="4"/>
      <c r="O31" s="4"/>
    </row>
    <row r="32" spans="1:15" x14ac:dyDescent="0.35">
      <c r="A32" s="1" t="s">
        <v>21</v>
      </c>
      <c r="B32" s="1" t="s">
        <v>22</v>
      </c>
      <c r="C32" s="2">
        <v>44781</v>
      </c>
      <c r="D32" s="1" t="s">
        <v>14</v>
      </c>
      <c r="E32" s="1">
        <v>1.9907683350000001</v>
      </c>
      <c r="F32" s="1">
        <f t="shared" si="0"/>
        <v>5.8155272199999999</v>
      </c>
      <c r="G32" s="1">
        <v>0.81316041900000002</v>
      </c>
      <c r="H32" s="1">
        <v>2.0453057480000001</v>
      </c>
      <c r="I32" s="1">
        <v>1.779453137</v>
      </c>
      <c r="J32" s="4">
        <v>4.92</v>
      </c>
      <c r="K32" s="4">
        <v>42.6</v>
      </c>
      <c r="L32" s="4">
        <v>40.299999999999997</v>
      </c>
      <c r="M32" s="8"/>
      <c r="N32" s="4"/>
      <c r="O32" s="4"/>
    </row>
    <row r="33" spans="1:16" x14ac:dyDescent="0.35">
      <c r="A33" s="1" t="s">
        <v>21</v>
      </c>
      <c r="B33" s="1" t="s">
        <v>22</v>
      </c>
      <c r="C33" s="2">
        <v>44816</v>
      </c>
      <c r="D33" s="1" t="s">
        <v>14</v>
      </c>
      <c r="E33" s="1">
        <v>2.3052031849999999</v>
      </c>
      <c r="F33" s="1">
        <f t="shared" si="0"/>
        <v>7.2739669219999996</v>
      </c>
      <c r="G33" s="1">
        <v>1.0399516529999999</v>
      </c>
      <c r="H33" s="1">
        <v>2.8027056149999998</v>
      </c>
      <c r="I33" s="1">
        <v>2.1660581219999999</v>
      </c>
      <c r="J33" s="4">
        <v>3.98</v>
      </c>
      <c r="K33" s="4">
        <v>44.4</v>
      </c>
      <c r="L33" s="4">
        <v>40.9</v>
      </c>
      <c r="M33" s="8"/>
      <c r="N33" s="4"/>
      <c r="O33" s="4"/>
    </row>
    <row r="34" spans="1:16" x14ac:dyDescent="0.35">
      <c r="A34" s="1" t="s">
        <v>21</v>
      </c>
      <c r="B34" s="1" t="s">
        <v>22</v>
      </c>
      <c r="C34" s="2">
        <v>44755</v>
      </c>
      <c r="D34" s="1" t="s">
        <v>15</v>
      </c>
      <c r="E34" s="1">
        <v>2.047145913</v>
      </c>
      <c r="F34" s="1">
        <f t="shared" ref="F34:F65" si="1">H34+I34+E34</f>
        <v>6.3207334179999997</v>
      </c>
      <c r="G34" s="1">
        <v>0.406750642</v>
      </c>
      <c r="H34" s="1">
        <v>1.9174350979999999</v>
      </c>
      <c r="I34" s="1">
        <v>2.3561524070000002</v>
      </c>
      <c r="J34" s="4">
        <v>1.79</v>
      </c>
      <c r="K34" s="4">
        <v>42.3</v>
      </c>
      <c r="L34" s="4">
        <v>41.8</v>
      </c>
      <c r="M34" s="8"/>
      <c r="N34" s="4"/>
      <c r="O34" s="4"/>
    </row>
    <row r="35" spans="1:16" x14ac:dyDescent="0.35">
      <c r="A35" s="1" t="s">
        <v>21</v>
      </c>
      <c r="B35" s="1" t="s">
        <v>22</v>
      </c>
      <c r="C35" s="2">
        <v>44781</v>
      </c>
      <c r="D35" s="1" t="s">
        <v>15</v>
      </c>
      <c r="E35" s="1">
        <v>1.6329618910000001</v>
      </c>
      <c r="F35" s="1">
        <f t="shared" si="1"/>
        <v>4.773652104</v>
      </c>
      <c r="G35" s="1">
        <v>0.60034158800000004</v>
      </c>
      <c r="H35" s="1">
        <v>1.860806701</v>
      </c>
      <c r="I35" s="1">
        <v>1.2798835120000001</v>
      </c>
      <c r="J35" s="4">
        <v>3.07</v>
      </c>
      <c r="K35" s="4">
        <v>44.1</v>
      </c>
      <c r="L35" s="4">
        <v>38</v>
      </c>
      <c r="M35" s="8"/>
      <c r="N35" s="4"/>
      <c r="O35" s="4"/>
    </row>
    <row r="36" spans="1:16" x14ac:dyDescent="0.35">
      <c r="A36" s="1" t="s">
        <v>21</v>
      </c>
      <c r="B36" s="1" t="s">
        <v>22</v>
      </c>
      <c r="C36" s="2">
        <v>44816</v>
      </c>
      <c r="D36" s="1" t="s">
        <v>15</v>
      </c>
      <c r="E36" s="1">
        <v>4.8939752800000003</v>
      </c>
      <c r="F36" s="1">
        <f t="shared" si="1"/>
        <v>14.256745717000001</v>
      </c>
      <c r="G36" s="1">
        <v>0.46513966899999998</v>
      </c>
      <c r="H36" s="1">
        <v>5.7125394629999997</v>
      </c>
      <c r="I36" s="1">
        <v>3.6502309739999999</v>
      </c>
      <c r="J36" s="4">
        <v>5.86</v>
      </c>
      <c r="K36" s="4">
        <v>42.2</v>
      </c>
      <c r="L36" s="4">
        <v>40</v>
      </c>
      <c r="M36" s="8"/>
      <c r="N36" s="4"/>
      <c r="O36" s="4"/>
    </row>
    <row r="37" spans="1:16" x14ac:dyDescent="0.35">
      <c r="A37" s="1" t="s">
        <v>23</v>
      </c>
      <c r="B37" s="1" t="s">
        <v>22</v>
      </c>
      <c r="C37" s="2">
        <v>44740</v>
      </c>
      <c r="D37" s="1" t="s">
        <v>14</v>
      </c>
      <c r="E37" s="1">
        <v>2.543222799</v>
      </c>
      <c r="F37" s="1">
        <f t="shared" si="1"/>
        <v>11.696851578</v>
      </c>
      <c r="G37" s="1">
        <v>0.89849472600000002</v>
      </c>
      <c r="H37" s="1">
        <v>2.9473648360000002</v>
      </c>
      <c r="I37" s="1">
        <v>6.2062639429999997</v>
      </c>
      <c r="J37" s="4">
        <v>3.99</v>
      </c>
      <c r="K37" s="4">
        <v>24.7</v>
      </c>
      <c r="L37" s="4">
        <v>18.8</v>
      </c>
      <c r="M37" s="5"/>
      <c r="N37" s="5"/>
      <c r="O37" s="5"/>
      <c r="P37" s="5"/>
    </row>
    <row r="38" spans="1:16" x14ac:dyDescent="0.35">
      <c r="A38" s="1" t="s">
        <v>23</v>
      </c>
      <c r="B38" s="1" t="s">
        <v>22</v>
      </c>
      <c r="C38" s="2">
        <v>44755</v>
      </c>
      <c r="D38" s="1" t="s">
        <v>14</v>
      </c>
      <c r="E38" s="1">
        <v>2.9195651640000002</v>
      </c>
      <c r="F38" s="1">
        <f t="shared" si="1"/>
        <v>7.4252061269999992</v>
      </c>
      <c r="G38" s="1">
        <v>0.26911536699999999</v>
      </c>
      <c r="H38" s="1">
        <v>3.4072494029999998</v>
      </c>
      <c r="I38" s="1">
        <v>1.09839156</v>
      </c>
      <c r="J38" s="4">
        <v>2.82</v>
      </c>
      <c r="K38" s="4">
        <v>46.1</v>
      </c>
      <c r="L38" s="4">
        <v>33.1</v>
      </c>
      <c r="M38" s="9"/>
      <c r="N38" s="4"/>
      <c r="O38" s="4"/>
      <c r="P38" s="8"/>
    </row>
    <row r="39" spans="1:16" x14ac:dyDescent="0.35">
      <c r="A39" s="1" t="s">
        <v>23</v>
      </c>
      <c r="B39" s="1" t="s">
        <v>22</v>
      </c>
      <c r="C39" s="2">
        <v>44781</v>
      </c>
      <c r="D39" s="1" t="s">
        <v>14</v>
      </c>
      <c r="E39" s="1">
        <v>6.3071590740000003</v>
      </c>
      <c r="F39" s="1">
        <f t="shared" si="1"/>
        <v>15.509587921000001</v>
      </c>
      <c r="G39" s="1">
        <v>0.57723912600000005</v>
      </c>
      <c r="H39" s="1">
        <v>7.8313634399999996</v>
      </c>
      <c r="I39" s="1">
        <v>1.3710654069999999</v>
      </c>
      <c r="J39" s="4">
        <v>3.83</v>
      </c>
      <c r="K39" s="4">
        <v>46.7</v>
      </c>
      <c r="L39" s="4">
        <v>42.4</v>
      </c>
      <c r="M39" s="9"/>
      <c r="N39" s="4"/>
      <c r="O39" s="4"/>
      <c r="P39" s="8"/>
    </row>
    <row r="40" spans="1:16" x14ac:dyDescent="0.35">
      <c r="A40" s="1" t="s">
        <v>23</v>
      </c>
      <c r="B40" s="1" t="s">
        <v>22</v>
      </c>
      <c r="C40" s="2">
        <v>44816</v>
      </c>
      <c r="D40" s="1" t="s">
        <v>14</v>
      </c>
      <c r="E40" s="1">
        <v>4.7517939379999996</v>
      </c>
      <c r="F40" s="1">
        <f t="shared" si="1"/>
        <v>12.738605633999999</v>
      </c>
      <c r="G40" s="1">
        <v>0.31311027000000002</v>
      </c>
      <c r="H40" s="1">
        <v>5.6237325010000001</v>
      </c>
      <c r="I40" s="1">
        <v>2.3630791950000001</v>
      </c>
      <c r="J40" s="4">
        <v>5.24</v>
      </c>
      <c r="K40" s="4">
        <v>44.8</v>
      </c>
      <c r="L40" s="4">
        <v>30.7</v>
      </c>
      <c r="M40" s="9"/>
      <c r="N40" s="4"/>
      <c r="O40" s="4"/>
      <c r="P40" s="8"/>
    </row>
    <row r="41" spans="1:16" x14ac:dyDescent="0.35">
      <c r="A41" s="1" t="s">
        <v>23</v>
      </c>
      <c r="B41" s="1" t="s">
        <v>22</v>
      </c>
      <c r="C41" s="2">
        <v>44755</v>
      </c>
      <c r="D41" s="1" t="s">
        <v>15</v>
      </c>
      <c r="E41" s="1">
        <v>4.5367515410000001</v>
      </c>
      <c r="F41" s="1">
        <f t="shared" si="1"/>
        <v>12.487811051000001</v>
      </c>
      <c r="G41" s="1">
        <v>7.5157229919999997</v>
      </c>
      <c r="H41" s="1">
        <v>5.7714483569999997</v>
      </c>
      <c r="I41" s="1">
        <v>2.1796111530000002</v>
      </c>
      <c r="J41" s="4">
        <v>3.26</v>
      </c>
      <c r="K41" s="4">
        <v>39.799999999999997</v>
      </c>
      <c r="L41" s="4">
        <v>32.700000000000003</v>
      </c>
      <c r="M41" s="9"/>
      <c r="N41" s="4"/>
      <c r="O41" s="4"/>
      <c r="P41" s="8"/>
    </row>
    <row r="42" spans="1:16" x14ac:dyDescent="0.35">
      <c r="A42" s="1" t="s">
        <v>23</v>
      </c>
      <c r="B42" s="1" t="s">
        <v>22</v>
      </c>
      <c r="C42" s="2">
        <v>44781</v>
      </c>
      <c r="D42" s="1" t="s">
        <v>15</v>
      </c>
      <c r="E42" s="1">
        <v>5.6799044639999998</v>
      </c>
      <c r="F42" s="1">
        <f t="shared" si="1"/>
        <v>13.737607022000001</v>
      </c>
      <c r="G42" s="1">
        <v>1.3891526350000001</v>
      </c>
      <c r="H42" s="1">
        <v>7.3447669280000003</v>
      </c>
      <c r="I42" s="1">
        <v>0.71293563000000004</v>
      </c>
      <c r="J42" s="4">
        <v>2.75</v>
      </c>
      <c r="K42" s="4">
        <v>42.5</v>
      </c>
      <c r="L42" s="4">
        <v>39.6</v>
      </c>
      <c r="M42" s="5"/>
      <c r="N42" s="5"/>
      <c r="O42" s="5"/>
      <c r="P42" s="5"/>
    </row>
    <row r="43" spans="1:16" x14ac:dyDescent="0.35">
      <c r="A43" s="1" t="s">
        <v>24</v>
      </c>
      <c r="B43" s="1" t="s">
        <v>25</v>
      </c>
      <c r="C43" s="2">
        <v>44733</v>
      </c>
      <c r="D43" s="1" t="s">
        <v>14</v>
      </c>
      <c r="E43" s="1">
        <v>1.21427704</v>
      </c>
      <c r="F43" s="1">
        <f t="shared" si="1"/>
        <v>3.6727735179999996</v>
      </c>
      <c r="G43" s="1">
        <v>0.72909640799999997</v>
      </c>
      <c r="H43" s="1">
        <v>0.76005624100000002</v>
      </c>
      <c r="I43" s="1">
        <v>1.698440237</v>
      </c>
      <c r="J43" s="4">
        <v>5.72</v>
      </c>
      <c r="K43" s="4">
        <v>36.200000000000003</v>
      </c>
      <c r="L43" s="4">
        <v>32.5</v>
      </c>
      <c r="M43" s="9"/>
      <c r="N43" s="4"/>
      <c r="O43" s="4"/>
      <c r="P43" s="4"/>
    </row>
    <row r="44" spans="1:16" x14ac:dyDescent="0.35">
      <c r="A44" s="1" t="s">
        <v>24</v>
      </c>
      <c r="B44" s="1" t="s">
        <v>25</v>
      </c>
      <c r="C44" s="2">
        <v>44767</v>
      </c>
      <c r="D44" s="1" t="s">
        <v>14</v>
      </c>
      <c r="E44" s="1">
        <v>1.0928455699999999</v>
      </c>
      <c r="F44" s="1">
        <f t="shared" si="1"/>
        <v>2.8481383249999999</v>
      </c>
      <c r="G44" s="1">
        <v>0.31678897900000003</v>
      </c>
      <c r="H44" s="1">
        <v>0.86265616000000001</v>
      </c>
      <c r="I44" s="1">
        <v>0.89263659500000003</v>
      </c>
      <c r="J44" s="4">
        <v>2.87</v>
      </c>
      <c r="K44" s="4">
        <v>42.3</v>
      </c>
      <c r="L44" s="4">
        <v>38.4</v>
      </c>
      <c r="M44" s="9"/>
      <c r="N44" s="4"/>
      <c r="O44" s="4"/>
      <c r="P44" s="4"/>
    </row>
    <row r="45" spans="1:16" x14ac:dyDescent="0.35">
      <c r="A45" s="1" t="s">
        <v>24</v>
      </c>
      <c r="B45" s="1" t="s">
        <v>25</v>
      </c>
      <c r="C45" s="2">
        <v>44788</v>
      </c>
      <c r="D45" s="1" t="s">
        <v>14</v>
      </c>
      <c r="E45" s="1">
        <v>0.79116387899999996</v>
      </c>
      <c r="F45" s="1">
        <f t="shared" si="1"/>
        <v>2.6860078929999998</v>
      </c>
      <c r="G45" s="1">
        <v>0.43570167799999998</v>
      </c>
      <c r="H45" s="1">
        <v>0.655993347</v>
      </c>
      <c r="I45" s="1">
        <v>1.2388506669999999</v>
      </c>
      <c r="J45" s="4">
        <v>3.21</v>
      </c>
      <c r="K45" s="4">
        <v>44.9</v>
      </c>
      <c r="L45" s="4">
        <v>40.6</v>
      </c>
      <c r="M45" s="9"/>
      <c r="N45" s="4"/>
      <c r="O45" s="4"/>
      <c r="P45" s="4"/>
    </row>
    <row r="46" spans="1:16" x14ac:dyDescent="0.35">
      <c r="A46" s="1" t="s">
        <v>24</v>
      </c>
      <c r="B46" s="1" t="s">
        <v>25</v>
      </c>
      <c r="C46" s="2">
        <v>44824</v>
      </c>
      <c r="D46" s="1" t="s">
        <v>14</v>
      </c>
      <c r="E46" s="1">
        <v>1.7924052720000001</v>
      </c>
      <c r="F46" s="1">
        <f t="shared" si="1"/>
        <v>5.6444470139999998</v>
      </c>
      <c r="G46" s="1">
        <v>0.54343841199999998</v>
      </c>
      <c r="H46" s="1">
        <v>1.713576489</v>
      </c>
      <c r="I46" s="1">
        <v>2.1384652530000001</v>
      </c>
      <c r="J46" s="4">
        <v>4.18</v>
      </c>
      <c r="K46" s="4">
        <v>43.2</v>
      </c>
      <c r="L46" s="4">
        <v>39</v>
      </c>
      <c r="M46" s="9"/>
      <c r="N46" s="4"/>
      <c r="O46" s="4"/>
      <c r="P46" s="4"/>
    </row>
    <row r="47" spans="1:16" x14ac:dyDescent="0.35">
      <c r="A47" s="1" t="s">
        <v>24</v>
      </c>
      <c r="B47" s="1" t="s">
        <v>25</v>
      </c>
      <c r="C47" s="2">
        <v>44733</v>
      </c>
      <c r="D47" s="1" t="s">
        <v>15</v>
      </c>
      <c r="E47">
        <v>0.80346314799999996</v>
      </c>
      <c r="F47" s="1">
        <f t="shared" si="1"/>
        <v>3.076182642</v>
      </c>
      <c r="G47">
        <v>0.417850691</v>
      </c>
      <c r="H47">
        <v>0.786488627</v>
      </c>
      <c r="I47">
        <v>1.486230867</v>
      </c>
      <c r="J47" s="4">
        <v>3.98</v>
      </c>
      <c r="K47" s="4">
        <v>33.67</v>
      </c>
      <c r="L47" s="4">
        <v>26.74</v>
      </c>
      <c r="M47" s="9"/>
      <c r="N47" s="4"/>
      <c r="O47" s="4"/>
      <c r="P47" s="4"/>
    </row>
    <row r="48" spans="1:16" x14ac:dyDescent="0.35">
      <c r="A48" s="1" t="s">
        <v>24</v>
      </c>
      <c r="B48" s="1" t="s">
        <v>25</v>
      </c>
      <c r="C48" s="2">
        <v>44767</v>
      </c>
      <c r="D48" s="1" t="s">
        <v>15</v>
      </c>
      <c r="E48" s="1">
        <v>0.56447986699999997</v>
      </c>
      <c r="F48" s="1">
        <f t="shared" si="1"/>
        <v>0.74766653699999996</v>
      </c>
      <c r="G48" s="1">
        <v>0.60074585899999999</v>
      </c>
      <c r="H48" s="1">
        <v>4.4118866E-2</v>
      </c>
      <c r="I48" s="1">
        <v>0.13906780399999999</v>
      </c>
      <c r="J48" s="4">
        <v>3.73</v>
      </c>
      <c r="K48" s="4">
        <v>40.4</v>
      </c>
      <c r="L48" s="4">
        <v>40</v>
      </c>
      <c r="M48" s="9"/>
      <c r="N48" s="4"/>
      <c r="O48" s="4"/>
      <c r="P48" s="4"/>
    </row>
    <row r="49" spans="1:16" x14ac:dyDescent="0.35">
      <c r="A49" s="1" t="s">
        <v>24</v>
      </c>
      <c r="B49" s="1" t="s">
        <v>25</v>
      </c>
      <c r="C49" s="2">
        <v>44824</v>
      </c>
      <c r="D49" s="1" t="s">
        <v>15</v>
      </c>
      <c r="E49" s="1">
        <v>1.7532198649999999</v>
      </c>
      <c r="F49" s="1">
        <f t="shared" si="1"/>
        <v>4.5706876550000004</v>
      </c>
      <c r="G49" s="1">
        <v>0.74785285199999996</v>
      </c>
      <c r="H49" s="1">
        <v>1.676764878</v>
      </c>
      <c r="I49" s="1">
        <v>1.1407029120000001</v>
      </c>
      <c r="J49" s="4">
        <v>5.18</v>
      </c>
      <c r="K49" s="4">
        <v>41.2</v>
      </c>
      <c r="L49" s="4">
        <v>37.6</v>
      </c>
      <c r="M49" s="5"/>
      <c r="N49" s="5"/>
      <c r="O49" s="5"/>
      <c r="P49" s="5"/>
    </row>
    <row r="50" spans="1:16" x14ac:dyDescent="0.35">
      <c r="A50" s="1" t="s">
        <v>26</v>
      </c>
      <c r="B50" s="1" t="s">
        <v>27</v>
      </c>
      <c r="C50" s="2">
        <v>44735</v>
      </c>
      <c r="D50" s="1" t="s">
        <v>14</v>
      </c>
      <c r="E50" s="1">
        <v>0.80346314799999996</v>
      </c>
      <c r="F50" s="1">
        <f t="shared" si="1"/>
        <v>3.076182642</v>
      </c>
      <c r="G50" s="1">
        <v>0.417850691</v>
      </c>
      <c r="H50" s="1">
        <v>0.786488627</v>
      </c>
      <c r="I50" s="1">
        <v>1.486230867</v>
      </c>
      <c r="J50" s="4">
        <v>3.99</v>
      </c>
      <c r="K50" s="4">
        <v>44.2</v>
      </c>
      <c r="L50" s="4">
        <v>36.799999999999997</v>
      </c>
      <c r="M50" s="9"/>
      <c r="N50" s="4"/>
      <c r="O50" s="4"/>
      <c r="P50" s="4"/>
    </row>
    <row r="51" spans="1:16" x14ac:dyDescent="0.35">
      <c r="A51" s="1" t="s">
        <v>26</v>
      </c>
      <c r="B51" s="1" t="s">
        <v>27</v>
      </c>
      <c r="C51" s="2">
        <v>44769</v>
      </c>
      <c r="D51" s="1" t="s">
        <v>14</v>
      </c>
      <c r="E51" s="1">
        <v>1.960219664</v>
      </c>
      <c r="F51" s="1">
        <f t="shared" si="1"/>
        <v>4.990050375</v>
      </c>
      <c r="G51" s="1">
        <v>0.35902601699999998</v>
      </c>
      <c r="H51" s="1">
        <v>1.7719257129999999</v>
      </c>
      <c r="I51" s="1">
        <v>1.2579049980000001</v>
      </c>
      <c r="J51" s="4">
        <v>7.6</v>
      </c>
      <c r="K51" s="4">
        <v>40.9</v>
      </c>
      <c r="L51" s="4">
        <v>38.700000000000003</v>
      </c>
      <c r="M51" s="9"/>
      <c r="N51" s="4"/>
      <c r="O51" s="4"/>
      <c r="P51" s="4"/>
    </row>
    <row r="52" spans="1:16" x14ac:dyDescent="0.35">
      <c r="A52" s="1" t="s">
        <v>26</v>
      </c>
      <c r="B52" s="1" t="s">
        <v>27</v>
      </c>
      <c r="C52" s="2">
        <v>44798</v>
      </c>
      <c r="D52" s="1" t="s">
        <v>14</v>
      </c>
      <c r="E52" s="1">
        <v>3.0154391199999999</v>
      </c>
      <c r="F52" s="1">
        <f t="shared" si="1"/>
        <v>8.7223708319999993</v>
      </c>
      <c r="G52" s="1">
        <v>0.14832891200000001</v>
      </c>
      <c r="H52" s="1">
        <v>3.6923452370000001</v>
      </c>
      <c r="I52" s="1">
        <v>2.0145864750000002</v>
      </c>
      <c r="J52" s="4">
        <v>6.31</v>
      </c>
      <c r="K52" s="4">
        <v>44.6</v>
      </c>
      <c r="L52" s="4">
        <v>40.799999999999997</v>
      </c>
      <c r="M52" s="9"/>
      <c r="N52" s="4"/>
      <c r="O52" s="4"/>
      <c r="P52" s="4"/>
    </row>
    <row r="53" spans="1:16" x14ac:dyDescent="0.35">
      <c r="A53" s="1" t="s">
        <v>26</v>
      </c>
      <c r="B53" s="1" t="s">
        <v>27</v>
      </c>
      <c r="C53" s="2">
        <v>44824</v>
      </c>
      <c r="D53" s="1" t="s">
        <v>14</v>
      </c>
      <c r="E53" s="1">
        <v>3.0015183400000001</v>
      </c>
      <c r="F53" s="1">
        <f t="shared" si="1"/>
        <v>9.1780447229999993</v>
      </c>
      <c r="G53" s="1">
        <v>1.200547174</v>
      </c>
      <c r="H53" s="1">
        <v>3.5969254099999999</v>
      </c>
      <c r="I53" s="1">
        <v>2.5796009729999998</v>
      </c>
      <c r="J53" s="4">
        <v>7.09</v>
      </c>
      <c r="K53" s="4">
        <v>43.9</v>
      </c>
      <c r="L53" s="4">
        <v>39.299999999999997</v>
      </c>
      <c r="M53" s="9"/>
      <c r="N53" s="4"/>
      <c r="O53" s="4"/>
      <c r="P53" s="4"/>
    </row>
    <row r="54" spans="1:16" x14ac:dyDescent="0.35">
      <c r="A54" s="1" t="s">
        <v>26</v>
      </c>
      <c r="B54" s="1" t="s">
        <v>27</v>
      </c>
      <c r="C54" s="2">
        <v>44769</v>
      </c>
      <c r="D54" s="1" t="s">
        <v>15</v>
      </c>
      <c r="E54" s="1">
        <v>1.572661941</v>
      </c>
      <c r="F54" s="1">
        <f t="shared" si="1"/>
        <v>2.7236644129999998</v>
      </c>
      <c r="G54" s="1">
        <v>0.61185284799999995</v>
      </c>
      <c r="H54" s="1">
        <v>0.58300014600000005</v>
      </c>
      <c r="I54" s="1">
        <v>0.568002326</v>
      </c>
      <c r="J54" s="4">
        <v>9.4499999999999993</v>
      </c>
      <c r="K54" s="4">
        <v>38.299999999999997</v>
      </c>
      <c r="L54" s="4">
        <v>29.8</v>
      </c>
      <c r="M54" s="9"/>
      <c r="N54" s="4"/>
      <c r="O54" s="4"/>
      <c r="P54" s="4"/>
    </row>
    <row r="55" spans="1:16" x14ac:dyDescent="0.35">
      <c r="A55" s="1" t="s">
        <v>26</v>
      </c>
      <c r="B55" s="1" t="s">
        <v>27</v>
      </c>
      <c r="C55" s="2">
        <v>44798</v>
      </c>
      <c r="D55" s="1" t="s">
        <v>15</v>
      </c>
      <c r="E55" s="1">
        <v>1.829441433</v>
      </c>
      <c r="F55" s="1">
        <f t="shared" si="1"/>
        <v>4.7138264369999998</v>
      </c>
      <c r="G55" s="1">
        <v>0.461980644</v>
      </c>
      <c r="H55" s="1">
        <v>1.566668645</v>
      </c>
      <c r="I55" s="1">
        <v>1.3177163590000001</v>
      </c>
      <c r="J55" s="4">
        <v>3.25</v>
      </c>
      <c r="K55" s="4">
        <v>41</v>
      </c>
      <c r="L55" s="4">
        <v>36.4</v>
      </c>
      <c r="M55" s="9"/>
      <c r="N55" s="4"/>
      <c r="O55" s="4"/>
      <c r="P55" s="4"/>
    </row>
    <row r="56" spans="1:16" x14ac:dyDescent="0.35">
      <c r="A56" s="1" t="s">
        <v>26</v>
      </c>
      <c r="B56" s="1" t="s">
        <v>27</v>
      </c>
      <c r="C56" s="2">
        <v>44824</v>
      </c>
      <c r="D56" s="1" t="s">
        <v>15</v>
      </c>
      <c r="E56" s="1">
        <v>2.5198898430000001</v>
      </c>
      <c r="F56" s="1">
        <f t="shared" si="1"/>
        <v>6.3893478150000007</v>
      </c>
      <c r="G56" s="1">
        <v>1.0581473079999999</v>
      </c>
      <c r="H56" s="1">
        <v>2.717171864</v>
      </c>
      <c r="I56" s="1">
        <v>1.152286108</v>
      </c>
      <c r="J56" s="4">
        <v>9.15</v>
      </c>
      <c r="K56" s="4">
        <v>40.299999999999997</v>
      </c>
      <c r="L56" s="4">
        <v>36.799999999999997</v>
      </c>
      <c r="M56" s="9"/>
      <c r="N56" s="4"/>
      <c r="O56" s="4"/>
      <c r="P56" s="4"/>
    </row>
    <row r="57" spans="1:16" x14ac:dyDescent="0.35">
      <c r="A57" s="1" t="s">
        <v>28</v>
      </c>
      <c r="B57" s="1" t="s">
        <v>13</v>
      </c>
      <c r="C57" s="2">
        <v>44727</v>
      </c>
      <c r="D57" s="1" t="s">
        <v>32</v>
      </c>
      <c r="E57" s="1">
        <v>1.61613692</v>
      </c>
      <c r="F57" s="1">
        <f t="shared" si="1"/>
        <v>3.8715326269999997</v>
      </c>
      <c r="G57" s="1">
        <v>14.304517629999999</v>
      </c>
      <c r="H57" s="1">
        <v>1.4974612890000001</v>
      </c>
      <c r="I57" s="1">
        <v>0.75793441800000005</v>
      </c>
      <c r="J57" s="4">
        <v>5.66</v>
      </c>
      <c r="K57" s="4">
        <v>33.1</v>
      </c>
      <c r="L57" s="4">
        <v>25.4</v>
      </c>
      <c r="M57" s="5"/>
      <c r="N57" s="5"/>
      <c r="O57" s="5"/>
      <c r="P57" s="4"/>
    </row>
    <row r="58" spans="1:16" x14ac:dyDescent="0.35">
      <c r="A58" s="1" t="s">
        <v>28</v>
      </c>
      <c r="B58" s="1" t="s">
        <v>13</v>
      </c>
      <c r="C58" s="2">
        <v>44755</v>
      </c>
      <c r="D58" s="1" t="s">
        <v>32</v>
      </c>
      <c r="E58" s="1">
        <v>2.482428858</v>
      </c>
      <c r="F58" s="1">
        <f t="shared" si="1"/>
        <v>3.96916431</v>
      </c>
      <c r="G58" s="1">
        <v>5.950594744</v>
      </c>
      <c r="H58" s="1">
        <v>1.0015612780000001</v>
      </c>
      <c r="I58" s="1">
        <v>0.48517417400000001</v>
      </c>
      <c r="J58" s="4">
        <v>5.75</v>
      </c>
      <c r="K58" s="4">
        <v>42.5</v>
      </c>
      <c r="L58" s="4">
        <v>35.799999999999997</v>
      </c>
      <c r="M58" s="8"/>
      <c r="N58" s="4"/>
      <c r="O58" s="4"/>
    </row>
    <row r="59" spans="1:16" x14ac:dyDescent="0.35">
      <c r="A59" s="1" t="s">
        <v>28</v>
      </c>
      <c r="B59" s="1" t="s">
        <v>13</v>
      </c>
      <c r="C59" s="2">
        <v>44797</v>
      </c>
      <c r="D59" s="1" t="s">
        <v>32</v>
      </c>
      <c r="E59" s="1">
        <v>2.7831998680000001</v>
      </c>
      <c r="F59" s="1">
        <f t="shared" si="1"/>
        <v>4.6220891760000002</v>
      </c>
      <c r="G59" s="1">
        <v>0.35808338200000001</v>
      </c>
      <c r="H59" s="1">
        <v>1.60618254</v>
      </c>
      <c r="I59" s="1">
        <v>0.23270676800000001</v>
      </c>
      <c r="J59" s="4">
        <v>6.69</v>
      </c>
      <c r="K59" s="4">
        <v>41</v>
      </c>
      <c r="L59" s="4">
        <v>31.5</v>
      </c>
      <c r="M59" s="8"/>
      <c r="N59" s="4"/>
      <c r="O59" s="4"/>
    </row>
    <row r="60" spans="1:16" x14ac:dyDescent="0.35">
      <c r="A60" s="1" t="s">
        <v>28</v>
      </c>
      <c r="B60" s="1" t="s">
        <v>13</v>
      </c>
      <c r="C60" s="2">
        <v>44816</v>
      </c>
      <c r="D60" s="1" t="s">
        <v>32</v>
      </c>
      <c r="E60" s="1">
        <v>3.5723885559999999</v>
      </c>
      <c r="F60" s="1">
        <f t="shared" si="1"/>
        <v>6.2919253729999998</v>
      </c>
      <c r="G60" s="1">
        <v>0.79874323899999999</v>
      </c>
      <c r="H60" s="1">
        <v>1.6706208659999999</v>
      </c>
      <c r="I60" s="1">
        <v>1.0489159509999999</v>
      </c>
      <c r="J60" s="4">
        <v>7.33</v>
      </c>
      <c r="K60" s="4">
        <v>35.299999999999997</v>
      </c>
      <c r="L60" s="4">
        <v>32.4</v>
      </c>
      <c r="M60" s="5"/>
      <c r="N60" s="5"/>
      <c r="O60" s="5"/>
      <c r="P60" s="5"/>
    </row>
    <row r="61" spans="1:16" x14ac:dyDescent="0.35">
      <c r="A61" s="1" t="s">
        <v>29</v>
      </c>
      <c r="B61" s="1" t="s">
        <v>25</v>
      </c>
      <c r="C61" s="2">
        <v>44733</v>
      </c>
      <c r="D61" s="1" t="s">
        <v>14</v>
      </c>
      <c r="E61" s="1">
        <v>0.25158029199999998</v>
      </c>
      <c r="F61" s="1">
        <f t="shared" si="1"/>
        <v>1.264033645</v>
      </c>
      <c r="G61" s="1">
        <v>0.42871104900000001</v>
      </c>
      <c r="H61" s="1">
        <v>0.36240540599999999</v>
      </c>
      <c r="I61" s="1">
        <v>0.65004794700000001</v>
      </c>
      <c r="J61" s="4">
        <v>6.71</v>
      </c>
      <c r="K61" s="4">
        <v>25.7</v>
      </c>
      <c r="L61" s="4">
        <v>19.399999999999999</v>
      </c>
      <c r="M61" s="9"/>
      <c r="N61" s="4"/>
      <c r="O61" s="4"/>
      <c r="P61" s="4"/>
    </row>
    <row r="62" spans="1:16" x14ac:dyDescent="0.35">
      <c r="A62" s="1" t="s">
        <v>29</v>
      </c>
      <c r="B62" s="1" t="s">
        <v>25</v>
      </c>
      <c r="C62" s="2">
        <v>44767</v>
      </c>
      <c r="D62" s="1" t="s">
        <v>14</v>
      </c>
      <c r="E62" s="1">
        <v>1.128746494</v>
      </c>
      <c r="F62" s="1">
        <f t="shared" si="1"/>
        <v>4.1361823740000006</v>
      </c>
      <c r="G62" s="1">
        <v>2.1112378220000001</v>
      </c>
      <c r="H62" s="1">
        <v>1.1685288490000001</v>
      </c>
      <c r="I62" s="1">
        <v>1.838907031</v>
      </c>
      <c r="J62" s="4">
        <v>5.97</v>
      </c>
      <c r="K62" s="4">
        <v>38.200000000000003</v>
      </c>
      <c r="L62" s="4">
        <v>35.200000000000003</v>
      </c>
      <c r="M62" s="9"/>
      <c r="N62" s="4"/>
      <c r="O62" s="4"/>
      <c r="P62" s="4"/>
    </row>
    <row r="63" spans="1:16" x14ac:dyDescent="0.35">
      <c r="A63" s="1" t="s">
        <v>29</v>
      </c>
      <c r="B63" s="1" t="s">
        <v>25</v>
      </c>
      <c r="C63" s="2">
        <v>44788</v>
      </c>
      <c r="D63" s="1" t="s">
        <v>14</v>
      </c>
      <c r="E63" s="1">
        <v>1.840734366</v>
      </c>
      <c r="F63" s="1">
        <f t="shared" si="1"/>
        <v>3.6599364469999998</v>
      </c>
      <c r="G63" s="1">
        <v>0.454262481</v>
      </c>
      <c r="H63" s="1">
        <v>0.94486220399999998</v>
      </c>
      <c r="I63" s="1">
        <v>0.87433987700000004</v>
      </c>
      <c r="J63" s="4">
        <v>5.82</v>
      </c>
      <c r="K63" s="4">
        <v>35.4</v>
      </c>
      <c r="L63" s="4">
        <v>34.200000000000003</v>
      </c>
      <c r="M63" s="9"/>
      <c r="N63" s="4"/>
      <c r="O63" s="4"/>
      <c r="P63" s="4"/>
    </row>
    <row r="64" spans="1:16" x14ac:dyDescent="0.35">
      <c r="A64" s="1" t="s">
        <v>29</v>
      </c>
      <c r="B64" s="1" t="s">
        <v>25</v>
      </c>
      <c r="C64" s="2">
        <v>44824</v>
      </c>
      <c r="D64" s="1" t="s">
        <v>14</v>
      </c>
      <c r="E64" s="1">
        <v>2.378259473</v>
      </c>
      <c r="F64" s="1">
        <f t="shared" si="1"/>
        <v>3.8447961409999998</v>
      </c>
      <c r="G64" s="1">
        <v>0.29831818500000001</v>
      </c>
      <c r="H64" s="1">
        <v>1.1769025609999999</v>
      </c>
      <c r="I64" s="1">
        <v>0.28963410699999997</v>
      </c>
      <c r="J64" s="4">
        <v>7.23</v>
      </c>
      <c r="K64" s="4">
        <v>32.799999999999997</v>
      </c>
      <c r="L64" s="4">
        <v>38.299999999999997</v>
      </c>
      <c r="M64" s="9"/>
      <c r="N64" s="4"/>
      <c r="O64" s="4"/>
      <c r="P64" s="4"/>
    </row>
    <row r="65" spans="1:16" x14ac:dyDescent="0.35">
      <c r="A65" s="1" t="s">
        <v>29</v>
      </c>
      <c r="B65" s="1" t="s">
        <v>25</v>
      </c>
      <c r="C65" s="2">
        <v>44733</v>
      </c>
      <c r="D65" s="1" t="s">
        <v>15</v>
      </c>
      <c r="E65" s="1">
        <v>1.3249685069999999</v>
      </c>
      <c r="F65" s="1">
        <f t="shared" si="1"/>
        <v>3.201397713</v>
      </c>
      <c r="G65" s="1">
        <v>9.4399209089999996</v>
      </c>
      <c r="H65" s="1">
        <v>1.062531238</v>
      </c>
      <c r="I65" s="1">
        <v>0.81389796800000003</v>
      </c>
      <c r="J65" s="4">
        <v>4.8</v>
      </c>
      <c r="K65" s="4">
        <v>35.6</v>
      </c>
      <c r="L65" s="4">
        <v>19.2</v>
      </c>
      <c r="M65" s="9"/>
      <c r="N65" s="4"/>
      <c r="O65" s="4"/>
      <c r="P65" s="4"/>
    </row>
    <row r="66" spans="1:16" x14ac:dyDescent="0.35">
      <c r="A66" s="1" t="s">
        <v>29</v>
      </c>
      <c r="B66" s="1" t="s">
        <v>25</v>
      </c>
      <c r="C66" s="2">
        <v>44788</v>
      </c>
      <c r="D66" s="1" t="s">
        <v>15</v>
      </c>
      <c r="E66" s="1">
        <v>0.99873297500000002</v>
      </c>
      <c r="F66" s="1">
        <f t="shared" ref="F66:F94" si="2">H66+I66+E66</f>
        <v>1.498442644</v>
      </c>
      <c r="G66" s="1">
        <v>0.41684301800000001</v>
      </c>
      <c r="H66" s="1">
        <v>0.262970123</v>
      </c>
      <c r="I66" s="1">
        <v>0.236739546</v>
      </c>
      <c r="J66" s="4">
        <v>7.13</v>
      </c>
      <c r="K66" s="4">
        <v>34.299999999999997</v>
      </c>
      <c r="L66" s="4">
        <v>30.1</v>
      </c>
      <c r="M66" s="9"/>
      <c r="N66" s="4"/>
      <c r="O66" s="4"/>
      <c r="P66" s="4"/>
    </row>
    <row r="67" spans="1:16" x14ac:dyDescent="0.35">
      <c r="A67" s="1" t="s">
        <v>29</v>
      </c>
      <c r="B67" s="1" t="s">
        <v>25</v>
      </c>
      <c r="C67" s="2">
        <v>44824</v>
      </c>
      <c r="D67" s="1" t="s">
        <v>15</v>
      </c>
      <c r="E67" s="1">
        <v>1.1546180189999999</v>
      </c>
      <c r="F67" s="1">
        <f t="shared" si="2"/>
        <v>1.9281111629999999</v>
      </c>
      <c r="G67" s="1">
        <v>0.37064445299999998</v>
      </c>
      <c r="H67" s="1">
        <v>0.13399408199999999</v>
      </c>
      <c r="I67" s="1">
        <v>0.63949906199999995</v>
      </c>
      <c r="J67" s="4">
        <v>8.1</v>
      </c>
      <c r="K67" s="4">
        <v>29.9</v>
      </c>
      <c r="L67" s="4">
        <v>29.6</v>
      </c>
      <c r="M67" s="9"/>
      <c r="N67" s="4"/>
      <c r="O67" s="4"/>
      <c r="P67" s="4"/>
    </row>
    <row r="68" spans="1:16" x14ac:dyDescent="0.35">
      <c r="A68" s="1" t="s">
        <v>30</v>
      </c>
      <c r="B68" s="1" t="s">
        <v>27</v>
      </c>
      <c r="C68" s="10">
        <v>44713</v>
      </c>
      <c r="D68" t="s">
        <v>15</v>
      </c>
      <c r="E68">
        <v>2.2543699080000001</v>
      </c>
      <c r="F68" s="1">
        <f t="shared" si="2"/>
        <v>5.5712790109999997</v>
      </c>
      <c r="G68">
        <v>18.837584620000001</v>
      </c>
      <c r="H68">
        <v>2.132070949</v>
      </c>
      <c r="I68">
        <v>1.1848381539999999</v>
      </c>
      <c r="J68">
        <v>2.8602578080000001</v>
      </c>
      <c r="K68">
        <v>26.454539839999999</v>
      </c>
      <c r="L68">
        <v>22.568321990000001</v>
      </c>
      <c r="M68" s="9"/>
      <c r="N68" s="4"/>
      <c r="O68" s="4"/>
      <c r="P68" s="4"/>
    </row>
    <row r="69" spans="1:16" x14ac:dyDescent="0.35">
      <c r="A69" s="1" t="s">
        <v>30</v>
      </c>
      <c r="B69" s="1" t="s">
        <v>27</v>
      </c>
      <c r="C69" s="10">
        <v>44720</v>
      </c>
      <c r="D69" t="s">
        <v>15</v>
      </c>
      <c r="E69">
        <v>2.5045367070000002</v>
      </c>
      <c r="F69" s="1">
        <f t="shared" si="2"/>
        <v>6.3629772370000008</v>
      </c>
      <c r="G69">
        <v>18.154951199999999</v>
      </c>
      <c r="H69">
        <v>2.4673337659999999</v>
      </c>
      <c r="I69">
        <v>1.3911067640000001</v>
      </c>
      <c r="J69">
        <v>2.0592864639999999</v>
      </c>
      <c r="K69">
        <v>26.608831110000001</v>
      </c>
      <c r="L69">
        <v>22.927757790000001</v>
      </c>
    </row>
    <row r="70" spans="1:16" x14ac:dyDescent="0.35">
      <c r="A70" s="1" t="s">
        <v>30</v>
      </c>
      <c r="B70" s="1" t="s">
        <v>27</v>
      </c>
      <c r="C70" s="10">
        <v>44728</v>
      </c>
      <c r="D70" t="s">
        <v>15</v>
      </c>
      <c r="E70">
        <v>2.772268983</v>
      </c>
      <c r="F70" s="1">
        <f t="shared" si="2"/>
        <v>7.2700788909999998</v>
      </c>
      <c r="G70">
        <v>18.0971932</v>
      </c>
      <c r="H70">
        <v>2.8288804509999999</v>
      </c>
      <c r="I70">
        <v>1.6689294569999999</v>
      </c>
      <c r="J70">
        <v>2.344308072</v>
      </c>
      <c r="K70">
        <v>26.51036384</v>
      </c>
      <c r="L70">
        <v>24.605331410000002</v>
      </c>
    </row>
    <row r="71" spans="1:16" x14ac:dyDescent="0.35">
      <c r="A71" s="1" t="s">
        <v>30</v>
      </c>
      <c r="B71" s="1" t="s">
        <v>27</v>
      </c>
      <c r="C71" s="10">
        <v>44735</v>
      </c>
      <c r="D71" t="s">
        <v>15</v>
      </c>
      <c r="E71">
        <v>2.736876267</v>
      </c>
      <c r="F71" s="1">
        <f t="shared" si="2"/>
        <v>6.9618331449999999</v>
      </c>
      <c r="G71">
        <v>16.795412580000001</v>
      </c>
      <c r="H71">
        <v>2.7100721650000001</v>
      </c>
      <c r="I71">
        <v>1.514884713</v>
      </c>
      <c r="J71"/>
      <c r="K71">
        <v>26.17118893</v>
      </c>
      <c r="L71">
        <v>22.573135959999998</v>
      </c>
    </row>
    <row r="72" spans="1:16" x14ac:dyDescent="0.35">
      <c r="A72" s="1" t="s">
        <v>30</v>
      </c>
      <c r="B72" s="1" t="s">
        <v>27</v>
      </c>
      <c r="C72" s="10">
        <v>44735</v>
      </c>
      <c r="D72" t="s">
        <v>14</v>
      </c>
      <c r="E72">
        <v>4.137693756</v>
      </c>
      <c r="F72" s="1">
        <f t="shared" si="2"/>
        <v>14.147385508999999</v>
      </c>
      <c r="G72">
        <v>1.1059094389999999</v>
      </c>
      <c r="H72">
        <v>4.4396711010000001</v>
      </c>
      <c r="I72">
        <v>5.5700206520000002</v>
      </c>
      <c r="J72">
        <v>2.2832205430000001</v>
      </c>
      <c r="K72">
        <v>21.935208379999999</v>
      </c>
      <c r="L72">
        <v>19.411643689999998</v>
      </c>
    </row>
    <row r="73" spans="1:16" x14ac:dyDescent="0.35">
      <c r="A73" s="1" t="s">
        <v>30</v>
      </c>
      <c r="B73" s="1" t="s">
        <v>27</v>
      </c>
      <c r="C73" s="10">
        <v>44742</v>
      </c>
      <c r="D73" t="s">
        <v>15</v>
      </c>
      <c r="E73">
        <v>1.26119512</v>
      </c>
      <c r="F73" s="1">
        <f t="shared" si="2"/>
        <v>6.5244106310000003</v>
      </c>
      <c r="G73">
        <v>8.3845177090000007</v>
      </c>
      <c r="H73">
        <v>0.94642141300000004</v>
      </c>
      <c r="I73">
        <v>4.3167940979999999</v>
      </c>
      <c r="J73">
        <v>2.233631151</v>
      </c>
      <c r="K73"/>
      <c r="L73"/>
    </row>
    <row r="74" spans="1:16" x14ac:dyDescent="0.35">
      <c r="A74" s="1" t="s">
        <v>30</v>
      </c>
      <c r="B74" s="1" t="s">
        <v>27</v>
      </c>
      <c r="C74" s="10">
        <v>44742</v>
      </c>
      <c r="D74" t="s">
        <v>14</v>
      </c>
      <c r="E74">
        <v>0.39882409200000002</v>
      </c>
      <c r="F74" s="1">
        <f t="shared" si="2"/>
        <v>3.0353247269999999</v>
      </c>
      <c r="G74">
        <v>0.56179935999999997</v>
      </c>
      <c r="H74">
        <v>1.1226075740000001</v>
      </c>
      <c r="I74">
        <v>1.5138930610000001</v>
      </c>
      <c r="J74">
        <v>2.0857399559999998</v>
      </c>
      <c r="K74">
        <v>22.044059409999999</v>
      </c>
      <c r="L74"/>
    </row>
    <row r="75" spans="1:16" x14ac:dyDescent="0.35">
      <c r="A75" s="1" t="s">
        <v>30</v>
      </c>
      <c r="B75" s="1" t="s">
        <v>27</v>
      </c>
      <c r="C75" s="10">
        <v>44748</v>
      </c>
      <c r="D75" t="s">
        <v>14</v>
      </c>
      <c r="E75">
        <v>0.99572966699999998</v>
      </c>
      <c r="F75" s="1">
        <f t="shared" si="2"/>
        <v>4.1491488990000001</v>
      </c>
      <c r="G75">
        <v>1.543376699</v>
      </c>
      <c r="H75">
        <v>1.6630279299999999</v>
      </c>
      <c r="I75">
        <v>1.4903913019999999</v>
      </c>
      <c r="J75"/>
      <c r="K75"/>
      <c r="L75"/>
    </row>
    <row r="76" spans="1:16" x14ac:dyDescent="0.35">
      <c r="A76" s="1" t="s">
        <v>30</v>
      </c>
      <c r="B76" s="1" t="s">
        <v>27</v>
      </c>
      <c r="C76" s="10">
        <v>44748</v>
      </c>
      <c r="D76" t="s">
        <v>15</v>
      </c>
      <c r="E76">
        <v>1.5295642279999999</v>
      </c>
      <c r="F76" s="1">
        <f t="shared" si="2"/>
        <v>6.5883136669999995</v>
      </c>
      <c r="G76">
        <v>7.9664177169999997</v>
      </c>
      <c r="H76">
        <v>1.5124856520000001</v>
      </c>
      <c r="I76">
        <v>3.546263787</v>
      </c>
      <c r="J76"/>
      <c r="K76"/>
      <c r="L76"/>
    </row>
    <row r="77" spans="1:16" x14ac:dyDescent="0.35">
      <c r="A77" s="1" t="s">
        <v>30</v>
      </c>
      <c r="B77" s="1" t="s">
        <v>27</v>
      </c>
      <c r="C77" s="10">
        <v>44756</v>
      </c>
      <c r="D77" t="s">
        <v>15</v>
      </c>
      <c r="E77">
        <v>1.4758658929999999</v>
      </c>
      <c r="F77" s="1">
        <f t="shared" si="2"/>
        <v>6.44485054</v>
      </c>
      <c r="G77">
        <v>4.9481019780000004</v>
      </c>
      <c r="H77">
        <v>1.236748832</v>
      </c>
      <c r="I77">
        <v>3.7322358150000001</v>
      </c>
      <c r="J77"/>
      <c r="K77">
        <v>29.525758549999999</v>
      </c>
      <c r="L77"/>
    </row>
    <row r="78" spans="1:16" x14ac:dyDescent="0.35">
      <c r="A78" s="1" t="s">
        <v>30</v>
      </c>
      <c r="B78" s="1" t="s">
        <v>27</v>
      </c>
      <c r="C78" s="10">
        <v>44756</v>
      </c>
      <c r="D78" t="s">
        <v>14</v>
      </c>
      <c r="E78">
        <v>1.054404777</v>
      </c>
      <c r="F78" s="1">
        <f t="shared" si="2"/>
        <v>4.0309637700000005</v>
      </c>
      <c r="G78">
        <v>1.217231755</v>
      </c>
      <c r="H78">
        <v>1.2794537610000001</v>
      </c>
      <c r="I78">
        <v>1.697105232</v>
      </c>
      <c r="J78">
        <v>3.2883532029999998</v>
      </c>
      <c r="K78"/>
      <c r="L78">
        <v>28.842945440000001</v>
      </c>
    </row>
    <row r="79" spans="1:16" x14ac:dyDescent="0.35">
      <c r="A79" s="1" t="s">
        <v>30</v>
      </c>
      <c r="B79" s="1" t="s">
        <v>27</v>
      </c>
      <c r="C79" s="10">
        <v>44762</v>
      </c>
      <c r="D79" t="s">
        <v>14</v>
      </c>
      <c r="E79">
        <v>1.304932472</v>
      </c>
      <c r="F79" s="1">
        <f t="shared" si="2"/>
        <v>7.3148237869999999</v>
      </c>
      <c r="G79">
        <v>0.71477700200000005</v>
      </c>
      <c r="H79">
        <v>1.1612614020000001</v>
      </c>
      <c r="I79">
        <v>4.8486299129999999</v>
      </c>
      <c r="J79">
        <v>2.1079627200000002</v>
      </c>
      <c r="K79"/>
      <c r="L79"/>
    </row>
    <row r="80" spans="1:16" x14ac:dyDescent="0.35">
      <c r="A80" s="1" t="s">
        <v>30</v>
      </c>
      <c r="B80" s="1" t="s">
        <v>27</v>
      </c>
      <c r="C80" s="10">
        <v>44762</v>
      </c>
      <c r="D80" t="s">
        <v>15</v>
      </c>
      <c r="E80">
        <v>1.142672342</v>
      </c>
      <c r="F80" s="1">
        <f t="shared" si="2"/>
        <v>3.401448877</v>
      </c>
      <c r="G80">
        <v>2.0158056950000001</v>
      </c>
      <c r="H80">
        <v>0.979472063</v>
      </c>
      <c r="I80">
        <v>1.279304472</v>
      </c>
      <c r="J80">
        <v>3.2620997269999998</v>
      </c>
      <c r="K80"/>
      <c r="L80"/>
    </row>
    <row r="81" spans="1:12" x14ac:dyDescent="0.35">
      <c r="A81" s="1" t="s">
        <v>30</v>
      </c>
      <c r="B81" s="1" t="s">
        <v>27</v>
      </c>
      <c r="C81" s="10">
        <v>44769</v>
      </c>
      <c r="D81" t="s">
        <v>14</v>
      </c>
      <c r="E81">
        <v>1.203030015</v>
      </c>
      <c r="F81" s="1">
        <f t="shared" si="2"/>
        <v>7.633821459</v>
      </c>
      <c r="G81">
        <v>0.52951933299999998</v>
      </c>
      <c r="H81">
        <v>1.4090549999999999</v>
      </c>
      <c r="I81">
        <v>5.0217364440000001</v>
      </c>
      <c r="J81">
        <v>1.8656919970000001</v>
      </c>
      <c r="K81"/>
      <c r="L81"/>
    </row>
    <row r="82" spans="1:12" x14ac:dyDescent="0.35">
      <c r="A82" s="1" t="s">
        <v>30</v>
      </c>
      <c r="B82" s="1" t="s">
        <v>27</v>
      </c>
      <c r="C82" s="10">
        <v>44769</v>
      </c>
      <c r="D82" t="s">
        <v>15</v>
      </c>
      <c r="E82">
        <v>1.468121107</v>
      </c>
      <c r="F82" s="1">
        <f t="shared" si="2"/>
        <v>4.6881569039999995</v>
      </c>
      <c r="G82">
        <v>1.6720819060000001</v>
      </c>
      <c r="H82">
        <v>1.397039444</v>
      </c>
      <c r="I82">
        <v>1.822996353</v>
      </c>
      <c r="J82">
        <v>2.5026136960000001</v>
      </c>
      <c r="K82"/>
      <c r="L82"/>
    </row>
    <row r="83" spans="1:12" x14ac:dyDescent="0.35">
      <c r="A83" s="1" t="s">
        <v>30</v>
      </c>
      <c r="B83" s="1" t="s">
        <v>27</v>
      </c>
      <c r="C83" s="10">
        <v>44776</v>
      </c>
      <c r="D83" t="s">
        <v>15</v>
      </c>
      <c r="E83">
        <v>1.70020108</v>
      </c>
      <c r="F83" s="1">
        <f t="shared" si="2"/>
        <v>5.097688711</v>
      </c>
      <c r="G83">
        <v>1.1308093640000001</v>
      </c>
      <c r="H83">
        <v>1.7470960719999999</v>
      </c>
      <c r="I83">
        <v>1.650391559</v>
      </c>
      <c r="J83">
        <v>3.2530355169999998</v>
      </c>
      <c r="K83">
        <v>32.575650869999997</v>
      </c>
      <c r="L83"/>
    </row>
    <row r="84" spans="1:12" x14ac:dyDescent="0.35">
      <c r="A84" s="1" t="s">
        <v>30</v>
      </c>
      <c r="B84" s="1" t="s">
        <v>27</v>
      </c>
      <c r="C84" s="10">
        <v>44776</v>
      </c>
      <c r="D84" t="s">
        <v>14</v>
      </c>
      <c r="E84">
        <v>1.0982127530000001</v>
      </c>
      <c r="F84" s="1">
        <f t="shared" si="2"/>
        <v>3.7387838310000001</v>
      </c>
      <c r="G84">
        <v>0.36441479900000001</v>
      </c>
      <c r="H84">
        <v>0.99842570100000005</v>
      </c>
      <c r="I84">
        <v>1.6421453770000001</v>
      </c>
      <c r="J84">
        <v>2.2825070159999998</v>
      </c>
      <c r="K84">
        <v>36.848802790000001</v>
      </c>
      <c r="L84">
        <v>28.86026786</v>
      </c>
    </row>
    <row r="85" spans="1:12" x14ac:dyDescent="0.35">
      <c r="A85" s="1" t="s">
        <v>30</v>
      </c>
      <c r="B85" s="1" t="s">
        <v>27</v>
      </c>
      <c r="C85" s="10">
        <v>44783</v>
      </c>
      <c r="D85" t="s">
        <v>14</v>
      </c>
      <c r="E85">
        <v>1.6681005630000001</v>
      </c>
      <c r="F85" s="1">
        <f t="shared" si="2"/>
        <v>6.4324651280000005</v>
      </c>
      <c r="G85">
        <v>0.26473669900000002</v>
      </c>
      <c r="H85">
        <v>1.8488604879999999</v>
      </c>
      <c r="I85">
        <v>2.915504077</v>
      </c>
      <c r="J85">
        <v>2.582685466</v>
      </c>
      <c r="K85"/>
      <c r="L85">
        <v>29.740441180000001</v>
      </c>
    </row>
    <row r="86" spans="1:12" x14ac:dyDescent="0.35">
      <c r="A86" s="1" t="s">
        <v>30</v>
      </c>
      <c r="B86" s="1" t="s">
        <v>27</v>
      </c>
      <c r="C86" s="10">
        <v>44783</v>
      </c>
      <c r="D86" t="s">
        <v>15</v>
      </c>
      <c r="E86">
        <v>1.302063467</v>
      </c>
      <c r="F86" s="1">
        <f t="shared" si="2"/>
        <v>4.1253199039999995</v>
      </c>
      <c r="G86">
        <v>0.48371351200000001</v>
      </c>
      <c r="H86">
        <v>1.618946188</v>
      </c>
      <c r="I86">
        <v>1.2043102489999999</v>
      </c>
      <c r="J86">
        <v>4.2613091049999996</v>
      </c>
      <c r="K86">
        <v>32.695602049999998</v>
      </c>
      <c r="L86">
        <v>30.45983536</v>
      </c>
    </row>
    <row r="87" spans="1:12" x14ac:dyDescent="0.35">
      <c r="A87" s="1" t="s">
        <v>30</v>
      </c>
      <c r="B87" s="1" t="s">
        <v>27</v>
      </c>
      <c r="C87" s="10">
        <v>44791</v>
      </c>
      <c r="D87" t="s">
        <v>14</v>
      </c>
      <c r="E87">
        <v>1.2813607979999999</v>
      </c>
      <c r="F87" s="1">
        <f t="shared" si="2"/>
        <v>4.8461770309999999</v>
      </c>
      <c r="G87">
        <v>0.411865488</v>
      </c>
      <c r="H87">
        <v>1.266459231</v>
      </c>
      <c r="I87">
        <v>2.2983570019999999</v>
      </c>
      <c r="J87">
        <v>3.1168995380000002</v>
      </c>
      <c r="K87"/>
      <c r="L87">
        <v>30.111064429999999</v>
      </c>
    </row>
    <row r="88" spans="1:12" x14ac:dyDescent="0.35">
      <c r="A88" s="1" t="s">
        <v>30</v>
      </c>
      <c r="B88" s="1" t="s">
        <v>27</v>
      </c>
      <c r="C88" s="10">
        <v>44791</v>
      </c>
      <c r="D88" t="s">
        <v>15</v>
      </c>
      <c r="E88">
        <v>1.3179470740000001</v>
      </c>
      <c r="F88" s="1">
        <f t="shared" si="2"/>
        <v>4.6104502940000005</v>
      </c>
      <c r="G88">
        <v>0.464711033</v>
      </c>
      <c r="H88">
        <v>1.5228640440000001</v>
      </c>
      <c r="I88">
        <v>1.7696391760000001</v>
      </c>
      <c r="J88"/>
      <c r="K88"/>
      <c r="L88"/>
    </row>
    <row r="89" spans="1:12" x14ac:dyDescent="0.35">
      <c r="A89" s="1" t="s">
        <v>30</v>
      </c>
      <c r="B89" s="1" t="s">
        <v>27</v>
      </c>
      <c r="C89" s="10">
        <v>44798</v>
      </c>
      <c r="D89" t="s">
        <v>15</v>
      </c>
      <c r="E89">
        <v>1.2114456149999999</v>
      </c>
      <c r="F89" s="1">
        <f t="shared" si="2"/>
        <v>3.9912836660000002</v>
      </c>
      <c r="G89">
        <v>0.43613709000000001</v>
      </c>
      <c r="H89">
        <v>1.23258088</v>
      </c>
      <c r="I89">
        <v>1.547257171</v>
      </c>
      <c r="J89">
        <v>4.379562044</v>
      </c>
      <c r="K89">
        <v>32.322442959999997</v>
      </c>
      <c r="L89"/>
    </row>
    <row r="90" spans="1:12" x14ac:dyDescent="0.35">
      <c r="A90" s="1" t="s">
        <v>30</v>
      </c>
      <c r="B90" s="1" t="s">
        <v>27</v>
      </c>
      <c r="C90" s="10">
        <v>44798</v>
      </c>
      <c r="D90" t="s">
        <v>14</v>
      </c>
      <c r="E90">
        <v>0.78334347800000004</v>
      </c>
      <c r="F90" s="1">
        <f t="shared" si="2"/>
        <v>3.6138354210000001</v>
      </c>
      <c r="G90">
        <v>0.191317972</v>
      </c>
      <c r="H90">
        <v>0.934343955</v>
      </c>
      <c r="I90">
        <v>1.8961479880000001</v>
      </c>
      <c r="J90">
        <v>3.1318136769999998</v>
      </c>
      <c r="K90"/>
      <c r="L90"/>
    </row>
    <row r="91" spans="1:12" x14ac:dyDescent="0.35">
      <c r="A91" s="1" t="s">
        <v>30</v>
      </c>
      <c r="B91" s="1" t="s">
        <v>27</v>
      </c>
      <c r="C91" s="10">
        <v>44805</v>
      </c>
      <c r="D91" t="s">
        <v>15</v>
      </c>
      <c r="E91">
        <v>2.123880438</v>
      </c>
      <c r="F91" s="1">
        <f t="shared" si="2"/>
        <v>8.6104611969999993</v>
      </c>
      <c r="G91">
        <v>0.43686471199999999</v>
      </c>
      <c r="H91">
        <v>2.3035857059999998</v>
      </c>
      <c r="I91">
        <v>4.182995053</v>
      </c>
      <c r="J91">
        <v>3.3255061239999999</v>
      </c>
      <c r="K91"/>
      <c r="L91"/>
    </row>
    <row r="92" spans="1:12" x14ac:dyDescent="0.35">
      <c r="A92" s="1" t="s">
        <v>30</v>
      </c>
      <c r="B92" s="1" t="s">
        <v>27</v>
      </c>
      <c r="C92" s="10">
        <v>44805</v>
      </c>
      <c r="D92" t="s">
        <v>14</v>
      </c>
      <c r="E92">
        <v>1.6625934630000001</v>
      </c>
      <c r="F92" s="1">
        <f t="shared" si="2"/>
        <v>6.8002193700000007</v>
      </c>
      <c r="G92">
        <v>0.33602843999999998</v>
      </c>
      <c r="H92">
        <v>2.1953084619999998</v>
      </c>
      <c r="I92">
        <v>2.942317445</v>
      </c>
      <c r="J92">
        <v>3.0506523410000002</v>
      </c>
      <c r="K92">
        <v>39.055562539999997</v>
      </c>
      <c r="L92">
        <v>31.325553280000001</v>
      </c>
    </row>
    <row r="93" spans="1:12" x14ac:dyDescent="0.35">
      <c r="A93" s="1" t="s">
        <v>30</v>
      </c>
      <c r="B93" s="1" t="s">
        <v>27</v>
      </c>
      <c r="C93" s="10">
        <v>44824</v>
      </c>
      <c r="D93" t="s">
        <v>14</v>
      </c>
      <c r="E93">
        <v>1.105702425</v>
      </c>
      <c r="F93" s="1">
        <f t="shared" si="2"/>
        <v>7.2663990250000001</v>
      </c>
      <c r="G93">
        <v>0.23925452699999999</v>
      </c>
      <c r="H93">
        <v>0.98428462500000002</v>
      </c>
      <c r="I93">
        <v>5.1764119749999997</v>
      </c>
      <c r="J93">
        <v>2.3980265049999998</v>
      </c>
      <c r="K93"/>
      <c r="L93"/>
    </row>
    <row r="94" spans="1:12" x14ac:dyDescent="0.35">
      <c r="A94" s="1" t="s">
        <v>30</v>
      </c>
      <c r="B94" s="1" t="s">
        <v>27</v>
      </c>
      <c r="C94" s="10">
        <v>44824</v>
      </c>
      <c r="D94" t="s">
        <v>15</v>
      </c>
      <c r="E94">
        <v>0.78051459499999998</v>
      </c>
      <c r="F94" s="1">
        <f t="shared" si="2"/>
        <v>2.7787933260000002</v>
      </c>
      <c r="G94">
        <v>0.35807402999999999</v>
      </c>
      <c r="H94">
        <v>0.73063592799999999</v>
      </c>
      <c r="I94">
        <v>1.267642803</v>
      </c>
      <c r="J94">
        <v>3.365700039</v>
      </c>
      <c r="K94">
        <v>35.867248179999997</v>
      </c>
      <c r="L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Keefer, Ella - FS, MT</dc:creator>
  <cp:lastModifiedBy>Keefer, Ella - FS, MT</cp:lastModifiedBy>
  <dcterms:created xsi:type="dcterms:W3CDTF">2025-03-11T17:21:27Z</dcterms:created>
  <dcterms:modified xsi:type="dcterms:W3CDTF">2025-08-19T21:49:50Z</dcterms:modified>
</cp:coreProperties>
</file>